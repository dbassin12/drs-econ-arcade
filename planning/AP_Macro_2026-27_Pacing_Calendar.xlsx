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Year Calendar" sheetId="1" state="visible" r:id="rId1"/>
    <sheet xmlns:r="http://schemas.openxmlformats.org/officeDocument/2006/relationships" name="Unit Overview" sheetId="2" state="visible" r:id="rId2"/>
    <sheet xmlns:r="http://schemas.openxmlformats.org/officeDocument/2006/relationships" name="Assessment Calendar" sheetId="3" state="visible" r:id="rId3"/>
    <sheet xmlns:r="http://schemas.openxmlformats.org/officeDocument/2006/relationships" name="Sick-Day Playbook" sheetId="4" state="visible" r:id="rId4"/>
    <sheet xmlns:r="http://schemas.openxmlformats.org/officeDocument/2006/relationships" name="Watch-outs" sheetId="5" state="visible" r:id="rId5"/>
    <sheet xmlns:r="http://schemas.openxmlformats.org/officeDocument/2006/relationships" name="Micro Volunteer Track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d\ mmm\ d&quot;, &quot;yyyy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00"/>
      <sz val="9"/>
    </font>
    <font>
      <name val="Arial"/>
      <charset val="1"/>
      <family val="0"/>
      <color rgb="FF7F7F7F"/>
      <sz val="9"/>
    </font>
    <font>
      <name val="Arial"/>
      <charset val="1"/>
      <family val="0"/>
      <color rgb="FF1F4E79"/>
      <sz val="10"/>
    </font>
    <font>
      <name val="Arial"/>
      <charset val="1"/>
      <family val="0"/>
      <color rgb="FF375623"/>
      <sz val="10"/>
    </font>
    <font>
      <name val="Arial"/>
      <charset val="1"/>
      <family val="0"/>
      <color rgb="FF7030A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color rgb="FF833C00"/>
      <sz val="10"/>
    </font>
    <font>
      <name val="Arial"/>
      <charset val="1"/>
      <family val="0"/>
      <color rgb="FFA6A6A6"/>
      <sz val="9"/>
    </font>
    <font>
      <name val="Arial"/>
      <charset val="1"/>
      <family val="0"/>
      <b val="1"/>
      <color rgb="FFFFFFFF"/>
      <sz val="11"/>
    </font>
    <font>
      <name val="Arial"/>
      <color rgb="FF000000"/>
      <sz val="9"/>
    </font>
    <font>
      <name val="Arial"/>
      <color rgb="FF1F4E79"/>
      <sz val="9"/>
    </font>
    <font>
      <name val="Arial"/>
      <color rgb="FF375623"/>
      <sz val="9"/>
    </font>
    <font>
      <name val="Arial"/>
      <color rgb="FFC00000"/>
      <sz val="9"/>
    </font>
    <font>
      <name val="Arial"/>
      <color rgb="FF833C00"/>
      <sz val="9"/>
    </font>
    <font>
      <name val="Arial"/>
      <color rgb="FF7030A0"/>
      <sz val="9"/>
    </font>
    <font>
      <name val="Arial"/>
      <color rgb="FFA6A6A6"/>
      <sz val="9"/>
    </font>
    <font>
      <name val="Arial"/>
      <b val="1"/>
      <sz val="9"/>
    </font>
    <font>
      <name val="Arial"/>
      <sz val="9"/>
    </font>
  </fonts>
  <fills count="28">
    <fill>
      <patternFill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E7E6E6"/>
        <bgColor rgb="FFEDEAE3"/>
      </patternFill>
    </fill>
    <fill>
      <patternFill patternType="solid">
        <fgColor rgb="FFF4CCCC"/>
        <bgColor rgb="FFEAD1D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FCE4D6"/>
        <bgColor rgb="FFEDEAE3"/>
      </patternFill>
    </fill>
    <fill>
      <patternFill patternType="solid">
        <fgColor rgb="FFEAD1DC"/>
        <bgColor rgb="FFF4CCCC"/>
      </patternFill>
    </fill>
    <fill>
      <patternFill patternType="solid">
        <fgColor rgb="FFD9E1F2"/>
        <bgColor rgb="FFD0E0E3"/>
      </patternFill>
    </fill>
    <fill>
      <patternFill patternType="solid">
        <fgColor rgb="FFD0E0E3"/>
        <bgColor rgb="FFD9E1F2"/>
      </patternFill>
    </fill>
    <fill>
      <patternFill patternType="solid">
        <fgColor rgb="FFF9CB9C"/>
        <bgColor rgb="FFF4CCCC"/>
      </patternFill>
    </fill>
    <fill>
      <patternFill patternType="solid">
        <fgColor rgb="FFF2F2F2"/>
        <bgColor rgb="FFEDEAE3"/>
      </patternFill>
    </fill>
    <fill>
      <patternFill patternType="solid">
        <fgColor rgb="FFEDEAE3"/>
        <bgColor rgb="FFE7E6E6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339966"/>
      </patternFill>
    </fill>
    <fill>
      <patternFill patternType="solid">
        <fgColor rgb="FF8A8375"/>
        <bgColor rgb="FF7F7F7F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D9E1F2"/>
        <bgColor rgb="FFD9E1F2"/>
      </patternFill>
    </fill>
    <fill>
      <patternFill patternType="solid">
        <fgColor rgb="FFD0E0E3"/>
        <bgColor rgb="FFD0E0E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164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center" wrapText="1"/>
    </xf>
    <xf numFmtId="0" fontId="7" fillId="6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center" wrapText="1"/>
    </xf>
    <xf numFmtId="0" fontId="7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7" fillId="13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center" wrapText="1"/>
    </xf>
    <xf numFmtId="0" fontId="11" fillId="5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2" fillId="5" borderId="1" applyAlignment="1" pivotButton="0" quotePrefix="0" xfId="0">
      <alignment horizontal="general" vertical="bottom"/>
    </xf>
    <xf numFmtId="164" fontId="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center" wrapText="1"/>
    </xf>
    <xf numFmtId="0" fontId="8" fillId="7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center" wrapText="1"/>
    </xf>
    <xf numFmtId="0" fontId="9" fillId="7" borderId="1" applyAlignment="1" pivotButton="0" quotePrefix="0" xfId="0">
      <alignment horizontal="general" vertical="bottom"/>
    </xf>
    <xf numFmtId="0" fontId="13" fillId="7" borderId="1" applyAlignment="1" pivotButton="0" quotePrefix="0" xfId="0">
      <alignment horizontal="general" vertical="center" wrapText="1"/>
    </xf>
    <xf numFmtId="0" fontId="13" fillId="7" borderId="1" applyAlignment="1" pivotButton="0" quotePrefix="0" xfId="0">
      <alignment horizontal="general" vertical="bottom"/>
    </xf>
    <xf numFmtId="0" fontId="10" fillId="7" borderId="1" applyAlignment="1" pivotButton="0" quotePrefix="0" xfId="0">
      <alignment horizontal="general" vertical="center" wrapText="1"/>
    </xf>
    <xf numFmtId="0" fontId="10" fillId="7" borderId="1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center" wrapText="1"/>
    </xf>
    <xf numFmtId="0" fontId="11" fillId="7" borderId="1" applyAlignment="1" pivotButton="0" quotePrefix="0" xfId="0">
      <alignment horizontal="general" vertical="bottom"/>
    </xf>
    <xf numFmtId="0" fontId="5" fillId="7" borderId="1" applyAlignment="1" pivotButton="0" quotePrefix="0" xfId="0">
      <alignment horizontal="general" vertical="bottom"/>
    </xf>
    <xf numFmtId="0" fontId="12" fillId="7" borderId="1" applyAlignment="1" pivotButton="0" quotePrefix="0" xfId="0">
      <alignment horizontal="general" vertical="center" wrapText="1"/>
    </xf>
    <xf numFmtId="0" fontId="12" fillId="7" borderId="1" applyAlignment="1" pivotButton="0" quotePrefix="0" xfId="0">
      <alignment horizontal="general" vertical="bottom"/>
    </xf>
    <xf numFmtId="164" fontId="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center" wrapText="1"/>
    </xf>
    <xf numFmtId="0" fontId="9" fillId="6" borderId="1" applyAlignment="1" pivotButton="0" quotePrefix="0" xfId="0">
      <alignment horizontal="general" vertical="bottom"/>
    </xf>
    <xf numFmtId="0" fontId="13" fillId="6" borderId="1" applyAlignment="1" pivotButton="0" quotePrefix="0" xfId="0">
      <alignment horizontal="general" vertical="center" wrapText="1"/>
    </xf>
    <xf numFmtId="0" fontId="13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center" wrapText="1"/>
    </xf>
    <xf numFmtId="0" fontId="11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center" wrapText="1"/>
    </xf>
    <xf numFmtId="0" fontId="10" fillId="6" borderId="1" applyAlignment="1" pivotButton="0" quotePrefix="0" xfId="0">
      <alignment horizontal="general" vertical="bottom"/>
    </xf>
    <xf numFmtId="0" fontId="5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center" wrapText="1"/>
    </xf>
    <xf numFmtId="0" fontId="12" fillId="6" borderId="1" applyAlignment="1" pivotButton="0" quotePrefix="0" xfId="0">
      <alignment horizontal="general" vertical="bottom"/>
    </xf>
    <xf numFmtId="164" fontId="6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center" wrapText="1"/>
    </xf>
    <xf numFmtId="0" fontId="8" fillId="9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center" wrapText="1"/>
    </xf>
    <xf numFmtId="0" fontId="9" fillId="9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center" wrapText="1"/>
    </xf>
    <xf numFmtId="0" fontId="10" fillId="9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164" fontId="6" fillId="1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10" fillId="10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bottom"/>
    </xf>
    <xf numFmtId="0" fontId="8" fillId="10" borderId="1" applyAlignment="1" pivotButton="0" quotePrefix="0" xfId="0">
      <alignment horizontal="general" vertical="center" wrapText="1"/>
    </xf>
    <xf numFmtId="0" fontId="6" fillId="10" borderId="1" applyAlignment="1" pivotButton="0" quotePrefix="0" xfId="0">
      <alignment horizontal="general" vertical="center" wrapText="1"/>
    </xf>
    <xf numFmtId="0" fontId="9" fillId="10" borderId="1" applyAlignment="1" pivotButton="0" quotePrefix="0" xfId="0">
      <alignment horizontal="general" vertical="center" wrapText="1"/>
    </xf>
    <xf numFmtId="0" fontId="9" fillId="10" borderId="1" applyAlignment="1" pivotButton="0" quotePrefix="0" xfId="0">
      <alignment horizontal="general" vertical="bottom"/>
    </xf>
    <xf numFmtId="0" fontId="11" fillId="10" borderId="1" applyAlignment="1" pivotButton="0" quotePrefix="0" xfId="0">
      <alignment horizontal="general" vertical="center" wrapText="1"/>
    </xf>
    <xf numFmtId="0" fontId="11" fillId="10" borderId="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center" wrapText="1"/>
    </xf>
    <xf numFmtId="0" fontId="13" fillId="10" borderId="1" applyAlignment="1" pivotButton="0" quotePrefix="0" xfId="0">
      <alignment horizontal="general" vertical="bottom"/>
    </xf>
    <xf numFmtId="0" fontId="5" fillId="10" borderId="1" applyAlignment="1" pivotButton="0" quotePrefix="0" xfId="0">
      <alignment horizontal="general" vertical="bottom"/>
    </xf>
    <xf numFmtId="0" fontId="12" fillId="10" borderId="1" applyAlignment="1" pivotButton="0" quotePrefix="0" xfId="0">
      <alignment horizontal="general" vertical="center" wrapText="1"/>
    </xf>
    <xf numFmtId="0" fontId="12" fillId="10" borderId="1" applyAlignment="1" pivotButton="0" quotePrefix="0" xfId="0">
      <alignment horizontal="general" vertical="bottom"/>
    </xf>
    <xf numFmtId="164" fontId="6" fillId="11" borderId="1" applyAlignment="1" pivotButton="0" quotePrefix="0" xfId="0">
      <alignment horizontal="general" vertical="bottom"/>
    </xf>
    <xf numFmtId="0" fontId="6" fillId="11" borderId="1" applyAlignment="1" pivotButton="0" quotePrefix="0" xfId="0">
      <alignment horizontal="general" vertical="bottom"/>
    </xf>
    <xf numFmtId="0" fontId="6" fillId="11" borderId="1" applyAlignment="1" pivotButton="0" quotePrefix="0" xfId="0">
      <alignment horizontal="general" vertical="center" wrapText="1"/>
    </xf>
    <xf numFmtId="0" fontId="8" fillId="11" borderId="1" applyAlignment="1" pivotButton="0" quotePrefix="0" xfId="0">
      <alignment horizontal="general" vertical="center" wrapText="1"/>
    </xf>
    <xf numFmtId="0" fontId="9" fillId="11" borderId="1" applyAlignment="1" pivotButton="0" quotePrefix="0" xfId="0">
      <alignment horizontal="general" vertical="center" wrapText="1"/>
    </xf>
    <xf numFmtId="0" fontId="9" fillId="11" borderId="1" applyAlignment="1" pivotButton="0" quotePrefix="0" xfId="0">
      <alignment horizontal="general" vertical="bottom"/>
    </xf>
    <xf numFmtId="0" fontId="10" fillId="11" borderId="1" applyAlignment="1" pivotButton="0" quotePrefix="0" xfId="0">
      <alignment horizontal="general" vertical="center" wrapText="1"/>
    </xf>
    <xf numFmtId="0" fontId="10" fillId="11" borderId="1" applyAlignment="1" pivotButton="0" quotePrefix="0" xfId="0">
      <alignment horizontal="general" vertical="bottom"/>
    </xf>
    <xf numFmtId="0" fontId="11" fillId="11" borderId="1" applyAlignment="1" pivotButton="0" quotePrefix="0" xfId="0">
      <alignment horizontal="general" vertical="center" wrapText="1"/>
    </xf>
    <xf numFmtId="0" fontId="11" fillId="11" borderId="1" applyAlignment="1" pivotButton="0" quotePrefix="0" xfId="0">
      <alignment horizontal="general" vertical="bottom"/>
    </xf>
    <xf numFmtId="0" fontId="5" fillId="11" borderId="1" applyAlignment="1" pivotButton="0" quotePrefix="0" xfId="0">
      <alignment horizontal="general" vertical="bottom"/>
    </xf>
    <xf numFmtId="0" fontId="12" fillId="11" borderId="1" applyAlignment="1" pivotButton="0" quotePrefix="0" xfId="0">
      <alignment horizontal="general" vertical="center" wrapText="1"/>
    </xf>
    <xf numFmtId="0" fontId="12" fillId="11" borderId="1" applyAlignment="1" pivotButton="0" quotePrefix="0" xfId="0">
      <alignment horizontal="general" vertical="bottom"/>
    </xf>
    <xf numFmtId="164" fontId="6" fillId="12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10" fillId="12" borderId="1" applyAlignment="1" pivotButton="0" quotePrefix="0" xfId="0">
      <alignment horizontal="general" vertical="center" wrapText="1"/>
    </xf>
    <xf numFmtId="0" fontId="10" fillId="12" borderId="1" applyAlignment="1" pivotButton="0" quotePrefix="0" xfId="0">
      <alignment horizontal="general" vertical="bottom"/>
    </xf>
    <xf numFmtId="0" fontId="8" fillId="12" borderId="1" applyAlignment="1" pivotButton="0" quotePrefix="0" xfId="0">
      <alignment horizontal="general" vertical="center" wrapText="1"/>
    </xf>
    <xf numFmtId="0" fontId="5" fillId="12" borderId="1" applyAlignment="1" pivotButton="0" quotePrefix="0" xfId="0">
      <alignment horizontal="general" vertical="bottom"/>
    </xf>
    <xf numFmtId="0" fontId="12" fillId="12" borderId="1" applyAlignment="1" pivotButton="0" quotePrefix="0" xfId="0">
      <alignment horizontal="general" vertical="center" wrapText="1"/>
    </xf>
    <xf numFmtId="0" fontId="12" fillId="12" borderId="1" applyAlignment="1" pivotButton="0" quotePrefix="0" xfId="0">
      <alignment horizontal="general" vertical="bottom"/>
    </xf>
    <xf numFmtId="0" fontId="9" fillId="12" borderId="1" applyAlignment="1" pivotButton="0" quotePrefix="0" xfId="0">
      <alignment horizontal="general" vertical="center" wrapText="1"/>
    </xf>
    <xf numFmtId="0" fontId="9" fillId="12" borderId="1" applyAlignment="1" pivotButton="0" quotePrefix="0" xfId="0">
      <alignment horizontal="general" vertical="bottom"/>
    </xf>
    <xf numFmtId="164" fontId="6" fillId="13" borderId="1" applyAlignment="1" pivotButton="0" quotePrefix="0" xfId="0">
      <alignment horizontal="general" vertical="bottom"/>
    </xf>
    <xf numFmtId="0" fontId="5" fillId="13" borderId="1" applyAlignment="1" pivotButton="0" quotePrefix="0" xfId="0">
      <alignment horizontal="general" vertical="bottom"/>
    </xf>
    <xf numFmtId="0" fontId="12" fillId="13" borderId="1" applyAlignment="1" pivotButton="0" quotePrefix="0" xfId="0">
      <alignment horizontal="general" vertical="center" wrapText="1"/>
    </xf>
    <xf numFmtId="0" fontId="12" fillId="13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center" wrapText="1"/>
    </xf>
    <xf numFmtId="164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center" wrapText="1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5" fillId="16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15" fillId="17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4" fillId="16" borderId="0" applyAlignment="1" pivotButton="0" quotePrefix="0" xfId="0">
      <alignment horizontal="general" vertical="bottom"/>
    </xf>
    <xf numFmtId="0" fontId="4" fillId="17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  <xf numFmtId="0" fontId="8" fillId="3" borderId="1" applyAlignment="1" pivotButton="0" quotePrefix="0" xfId="0">
      <alignment horizontal="general" vertical="center" wrapText="1"/>
    </xf>
    <xf numFmtId="0" fontId="7" fillId="3" borderId="1" applyAlignment="1" pivotButton="0" quotePrefix="0" xfId="0">
      <alignment horizontal="general" vertical="bottom"/>
    </xf>
    <xf numFmtId="164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center" wrapText="1"/>
    </xf>
    <xf numFmtId="0" fontId="7" fillId="6" borderId="1" applyAlignment="1" pivotButton="0" quotePrefix="0" xfId="0">
      <alignment horizontal="general" vertical="center" wrapText="1"/>
    </xf>
    <xf numFmtId="0" fontId="8" fillId="5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center" wrapText="1"/>
    </xf>
    <xf numFmtId="0" fontId="9" fillId="5" borderId="1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center" wrapText="1"/>
    </xf>
    <xf numFmtId="0" fontId="7" fillId="9" borderId="1" applyAlignment="1" pivotButton="0" quotePrefix="0" xfId="0">
      <alignment horizontal="general" vertical="bottom"/>
    </xf>
    <xf numFmtId="0" fontId="7" fillId="10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7" fillId="12" borderId="1" applyAlignment="1" pivotButton="0" quotePrefix="0" xfId="0">
      <alignment horizontal="general" vertical="bottom"/>
    </xf>
    <xf numFmtId="0" fontId="7" fillId="13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center" wrapText="1"/>
    </xf>
    <xf numFmtId="0" fontId="10" fillId="5" borderId="1" applyAlignment="1" pivotButton="0" quotePrefix="0" xfId="0">
      <alignment horizontal="general" vertical="bottom"/>
    </xf>
    <xf numFmtId="0" fontId="7" fillId="14" borderId="1" applyAlignment="1" pivotButton="0" quotePrefix="0" xfId="0">
      <alignment horizontal="general" vertical="bottom"/>
    </xf>
    <xf numFmtId="0" fontId="7" fillId="21" borderId="1" applyAlignment="1" pivotButton="0" quotePrefix="0" xfId="0">
      <alignment horizontal="general" vertical="bottom"/>
    </xf>
    <xf numFmtId="164" fontId="6" fillId="19" borderId="1" applyAlignment="1" pivotButton="0" quotePrefix="0" xfId="0">
      <alignment horizontal="general" vertical="bottom"/>
    </xf>
    <xf numFmtId="0" fontId="6" fillId="19" borderId="1" applyAlignment="1" pivotButton="0" quotePrefix="0" xfId="0">
      <alignment horizontal="general" vertical="bottom"/>
    </xf>
    <xf numFmtId="0" fontId="6" fillId="19" borderId="1" applyAlignment="1" pivotButton="0" quotePrefix="0" xfId="0">
      <alignment horizontal="general" vertical="center" wrapText="1"/>
    </xf>
    <xf numFmtId="0" fontId="7" fillId="20" borderId="1" applyAlignment="1" pivotButton="0" quotePrefix="0" xfId="0">
      <alignment horizontal="general" vertical="center" wrapText="1"/>
    </xf>
    <xf numFmtId="0" fontId="8" fillId="19" borderId="1" applyAlignment="1" pivotButton="0" quotePrefix="0" xfId="0">
      <alignment horizontal="general" vertical="center" wrapText="1"/>
    </xf>
    <xf numFmtId="164" fontId="6" fillId="21" borderId="1" applyAlignment="1" pivotButton="0" quotePrefix="0" xfId="0">
      <alignment horizontal="general" vertical="bottom"/>
    </xf>
    <xf numFmtId="0" fontId="6" fillId="21" borderId="1" applyAlignment="1" pivotButton="0" quotePrefix="0" xfId="0">
      <alignment horizontal="general" vertical="bottom"/>
    </xf>
    <xf numFmtId="0" fontId="6" fillId="21" borderId="1" applyAlignment="1" pivotButton="0" quotePrefix="0" xfId="0">
      <alignment horizontal="general" vertical="center" wrapText="1"/>
    </xf>
    <xf numFmtId="0" fontId="8" fillId="21" borderId="1" applyAlignment="1" pivotButton="0" quotePrefix="0" xfId="0">
      <alignment horizontal="general" vertical="center" wrapText="1"/>
    </xf>
    <xf numFmtId="0" fontId="10" fillId="19" borderId="1" applyAlignment="1" pivotButton="0" quotePrefix="0" xfId="0">
      <alignment horizontal="general" vertical="center" wrapText="1"/>
    </xf>
    <xf numFmtId="0" fontId="10" fillId="19" borderId="1" applyAlignment="1" pivotButton="0" quotePrefix="0" xfId="0">
      <alignment horizontal="general" vertical="bottom"/>
    </xf>
    <xf numFmtId="0" fontId="7" fillId="22" borderId="1" applyAlignment="1" pivotButton="0" quotePrefix="0" xfId="0">
      <alignment horizontal="general" vertical="center" wrapText="1"/>
    </xf>
    <xf numFmtId="0" fontId="5" fillId="19" borderId="1" applyAlignment="1" pivotButton="0" quotePrefix="0" xfId="0">
      <alignment horizontal="general" vertical="bottom"/>
    </xf>
    <xf numFmtId="0" fontId="12" fillId="19" borderId="1" applyAlignment="1" pivotButton="0" quotePrefix="0" xfId="0">
      <alignment horizontal="general" vertical="center" wrapText="1"/>
    </xf>
    <xf numFmtId="0" fontId="12" fillId="19" borderId="1" applyAlignment="1" pivotButton="0" quotePrefix="0" xfId="0">
      <alignment horizontal="general" vertical="bottom"/>
    </xf>
    <xf numFmtId="0" fontId="7" fillId="23" borderId="1" applyAlignment="1" pivotButton="0" quotePrefix="0" xfId="0">
      <alignment horizontal="general" vertical="center" wrapText="1"/>
    </xf>
    <xf numFmtId="0" fontId="13" fillId="21" borderId="1" applyAlignment="1" pivotButton="0" quotePrefix="0" xfId="0">
      <alignment horizontal="general" vertical="center" wrapText="1"/>
    </xf>
    <xf numFmtId="0" fontId="13" fillId="21" borderId="1" applyAlignment="1" pivotButton="0" quotePrefix="0" xfId="0">
      <alignment horizontal="general" vertical="bottom"/>
    </xf>
    <xf numFmtId="164" fontId="6" fillId="24" borderId="1" applyAlignment="1" pivotButton="0" quotePrefix="0" xfId="0">
      <alignment horizontal="general" vertical="bottom"/>
    </xf>
    <xf numFmtId="0" fontId="6" fillId="24" borderId="1" applyAlignment="1" pivotButton="0" quotePrefix="0" xfId="0">
      <alignment horizontal="general" vertical="bottom"/>
    </xf>
    <xf numFmtId="0" fontId="6" fillId="24" borderId="1" applyAlignment="1" pivotButton="0" quotePrefix="0" xfId="0">
      <alignment horizontal="general" vertical="center" wrapText="1"/>
    </xf>
    <xf numFmtId="0" fontId="8" fillId="24" borderId="1" applyAlignment="1" pivotButton="0" quotePrefix="0" xfId="0">
      <alignment horizontal="general" vertical="center" wrapText="1"/>
    </xf>
    <xf numFmtId="0" fontId="10" fillId="24" borderId="1" applyAlignment="1" pivotButton="0" quotePrefix="0" xfId="0">
      <alignment horizontal="general" vertical="center" wrapText="1"/>
    </xf>
    <xf numFmtId="0" fontId="10" fillId="24" borderId="1" applyAlignment="1" pivotButton="0" quotePrefix="0" xfId="0">
      <alignment horizontal="general" vertical="bottom"/>
    </xf>
    <xf numFmtId="0" fontId="5" fillId="24" borderId="1" applyAlignment="1" pivotButton="0" quotePrefix="0" xfId="0">
      <alignment horizontal="general" vertical="bottom"/>
    </xf>
    <xf numFmtId="0" fontId="12" fillId="24" borderId="1" applyAlignment="1" pivotButton="0" quotePrefix="0" xfId="0">
      <alignment horizontal="general" vertical="center" wrapText="1"/>
    </xf>
    <xf numFmtId="0" fontId="12" fillId="24" borderId="1" applyAlignment="1" pivotButton="0" quotePrefix="0" xfId="0">
      <alignment horizontal="general" vertical="bottom"/>
    </xf>
    <xf numFmtId="164" fontId="6" fillId="2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bottom"/>
    </xf>
    <xf numFmtId="0" fontId="6" fillId="20" borderId="1" applyAlignment="1" pivotButton="0" quotePrefix="0" xfId="0">
      <alignment horizontal="general" vertical="center" wrapText="1"/>
    </xf>
    <xf numFmtId="0" fontId="8" fillId="20" borderId="1" applyAlignment="1" pivotButton="0" quotePrefix="0" xfId="0">
      <alignment horizontal="general" vertical="center" wrapText="1"/>
    </xf>
    <xf numFmtId="0" fontId="9" fillId="20" borderId="1" applyAlignment="1" pivotButton="0" quotePrefix="0" xfId="0">
      <alignment horizontal="general" vertical="center" wrapText="1"/>
    </xf>
    <xf numFmtId="0" fontId="9" fillId="20" borderId="1" applyAlignment="1" pivotButton="0" quotePrefix="0" xfId="0">
      <alignment horizontal="general" vertical="bottom"/>
    </xf>
    <xf numFmtId="0" fontId="11" fillId="20" borderId="1" applyAlignment="1" pivotButton="0" quotePrefix="0" xfId="0">
      <alignment horizontal="general" vertical="center" wrapText="1"/>
    </xf>
    <xf numFmtId="0" fontId="11" fillId="20" borderId="1" applyAlignment="1" pivotButton="0" quotePrefix="0" xfId="0">
      <alignment horizontal="general" vertical="bottom"/>
    </xf>
    <xf numFmtId="0" fontId="10" fillId="20" borderId="1" applyAlignment="1" pivotButton="0" quotePrefix="0" xfId="0">
      <alignment horizontal="general" vertical="center" wrapText="1"/>
    </xf>
    <xf numFmtId="0" fontId="10" fillId="20" borderId="1" applyAlignment="1" pivotButton="0" quotePrefix="0" xfId="0">
      <alignment horizontal="general" vertical="bottom"/>
    </xf>
    <xf numFmtId="0" fontId="13" fillId="20" borderId="1" applyAlignment="1" pivotButton="0" quotePrefix="0" xfId="0">
      <alignment horizontal="general" vertical="center" wrapText="1"/>
    </xf>
    <xf numFmtId="0" fontId="13" fillId="20" borderId="1" applyAlignment="1" pivotButton="0" quotePrefix="0" xfId="0">
      <alignment horizontal="general" vertical="bottom"/>
    </xf>
    <xf numFmtId="0" fontId="5" fillId="20" borderId="1" applyAlignment="1" pivotButton="0" quotePrefix="0" xfId="0">
      <alignment horizontal="general" vertical="bottom"/>
    </xf>
    <xf numFmtId="0" fontId="12" fillId="20" borderId="1" applyAlignment="1" pivotButton="0" quotePrefix="0" xfId="0">
      <alignment horizontal="general" vertical="center" wrapText="1"/>
    </xf>
    <xf numFmtId="0" fontId="12" fillId="20" borderId="1" applyAlignment="1" pivotButton="0" quotePrefix="0" xfId="0">
      <alignment horizontal="general" vertical="bottom"/>
    </xf>
    <xf numFmtId="164" fontId="6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bottom"/>
    </xf>
    <xf numFmtId="0" fontId="6" fillId="9" borderId="1" applyAlignment="1" pivotButton="0" quotePrefix="0" xfId="0">
      <alignment horizontal="general" vertical="center" wrapText="1"/>
    </xf>
    <xf numFmtId="0" fontId="8" fillId="9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center" wrapText="1"/>
    </xf>
    <xf numFmtId="0" fontId="13" fillId="9" borderId="1" applyAlignment="1" pivotButton="0" quotePrefix="0" xfId="0">
      <alignment horizontal="general" vertical="bottom"/>
    </xf>
    <xf numFmtId="0" fontId="9" fillId="9" borderId="1" applyAlignment="1" pivotButton="0" quotePrefix="0" xfId="0">
      <alignment horizontal="general" vertical="center" wrapText="1"/>
    </xf>
    <xf numFmtId="0" fontId="9" fillId="9" borderId="1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center" wrapText="1"/>
    </xf>
    <xf numFmtId="0" fontId="10" fillId="9" borderId="1" applyAlignment="1" pivotButton="0" quotePrefix="0" xfId="0">
      <alignment horizontal="general" vertical="bottom"/>
    </xf>
    <xf numFmtId="164" fontId="6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bottom"/>
    </xf>
    <xf numFmtId="0" fontId="7" fillId="15" borderId="1" applyAlignment="1" pivotButton="0" quotePrefix="0" xfId="0">
      <alignment horizontal="general" vertical="center" wrapText="1"/>
    </xf>
    <xf numFmtId="0" fontId="8" fillId="4" borderId="1" applyAlignment="1" pivotButton="0" quotePrefix="0" xfId="0">
      <alignment horizontal="general" vertical="center" wrapText="1"/>
    </xf>
    <xf numFmtId="164" fontId="6" fillId="10" borderId="1" applyAlignment="1" pivotButton="0" quotePrefix="0" xfId="0">
      <alignment horizontal="general" vertical="bottom"/>
    </xf>
    <xf numFmtId="0" fontId="6" fillId="10" borderId="1" applyAlignment="1" pivotButton="0" quotePrefix="0" xfId="0">
      <alignment horizontal="general" vertical="bottom"/>
    </xf>
    <xf numFmtId="0" fontId="10" fillId="10" borderId="1" applyAlignment="1" pivotButton="0" quotePrefix="0" xfId="0">
      <alignment horizontal="general" vertical="center" wrapText="1"/>
    </xf>
    <xf numFmtId="0" fontId="10" fillId="10" borderId="1" applyAlignment="1" pivotButton="0" quotePrefix="0" xfId="0">
      <alignment horizontal="general" vertical="bottom"/>
    </xf>
    <xf numFmtId="0" fontId="8" fillId="10" borderId="1" applyAlignment="1" pivotButton="0" quotePrefix="0" xfId="0">
      <alignment horizontal="general" vertical="center" wrapText="1"/>
    </xf>
    <xf numFmtId="0" fontId="6" fillId="10" borderId="1" applyAlignment="1" pivotButton="0" quotePrefix="0" xfId="0">
      <alignment horizontal="general" vertical="center" wrapText="1"/>
    </xf>
    <xf numFmtId="0" fontId="9" fillId="10" borderId="1" applyAlignment="1" pivotButton="0" quotePrefix="0" xfId="0">
      <alignment horizontal="general" vertical="center" wrapText="1"/>
    </xf>
    <xf numFmtId="0" fontId="9" fillId="10" borderId="1" applyAlignment="1" pivotButton="0" quotePrefix="0" xfId="0">
      <alignment horizontal="general" vertical="bottom"/>
    </xf>
    <xf numFmtId="0" fontId="11" fillId="10" borderId="1" applyAlignment="1" pivotButton="0" quotePrefix="0" xfId="0">
      <alignment horizontal="general" vertical="center" wrapText="1"/>
    </xf>
    <xf numFmtId="0" fontId="11" fillId="10" borderId="1" applyAlignment="1" pivotButton="0" quotePrefix="0" xfId="0">
      <alignment horizontal="general" vertical="bottom"/>
    </xf>
    <xf numFmtId="0" fontId="13" fillId="10" borderId="1" applyAlignment="1" pivotButton="0" quotePrefix="0" xfId="0">
      <alignment horizontal="general" vertical="center" wrapText="1"/>
    </xf>
    <xf numFmtId="0" fontId="13" fillId="10" borderId="1" applyAlignment="1" pivotButton="0" quotePrefix="0" xfId="0">
      <alignment horizontal="general" vertical="bottom"/>
    </xf>
    <xf numFmtId="164" fontId="6" fillId="25" borderId="1" applyAlignment="1" pivotButton="0" quotePrefix="0" xfId="0">
      <alignment horizontal="general" vertical="bottom"/>
    </xf>
    <xf numFmtId="0" fontId="6" fillId="25" borderId="1" applyAlignment="1" pivotButton="0" quotePrefix="0" xfId="0">
      <alignment horizontal="general" vertical="bottom"/>
    </xf>
    <xf numFmtId="0" fontId="6" fillId="25" borderId="1" applyAlignment="1" pivotButton="0" quotePrefix="0" xfId="0">
      <alignment horizontal="general" vertical="center" wrapText="1"/>
    </xf>
    <xf numFmtId="0" fontId="8" fillId="25" borderId="1" applyAlignment="1" pivotButton="0" quotePrefix="0" xfId="0">
      <alignment horizontal="general" vertical="center" wrapText="1"/>
    </xf>
    <xf numFmtId="0" fontId="10" fillId="25" borderId="1" applyAlignment="1" pivotButton="0" quotePrefix="0" xfId="0">
      <alignment horizontal="general" vertical="center" wrapText="1"/>
    </xf>
    <xf numFmtId="0" fontId="10" fillId="25" borderId="1" applyAlignment="1" pivotButton="0" quotePrefix="0" xfId="0">
      <alignment horizontal="general" vertical="bottom"/>
    </xf>
    <xf numFmtId="0" fontId="5" fillId="25" borderId="1" applyAlignment="1" pivotButton="0" quotePrefix="0" xfId="0">
      <alignment horizontal="general" vertical="bottom"/>
    </xf>
    <xf numFmtId="0" fontId="12" fillId="25" borderId="1" applyAlignment="1" pivotButton="0" quotePrefix="0" xfId="0">
      <alignment horizontal="general" vertical="center" wrapText="1"/>
    </xf>
    <xf numFmtId="0" fontId="12" fillId="25" borderId="1" applyAlignment="1" pivotButton="0" quotePrefix="0" xfId="0">
      <alignment horizontal="general" vertical="bottom"/>
    </xf>
    <xf numFmtId="0" fontId="11" fillId="21" borderId="1" applyAlignment="1" pivotButton="0" quotePrefix="0" xfId="0">
      <alignment horizontal="general" vertical="center" wrapText="1"/>
    </xf>
    <xf numFmtId="0" fontId="11" fillId="21" borderId="1" applyAlignment="1" pivotButton="0" quotePrefix="0" xfId="0">
      <alignment horizontal="general" vertical="bottom"/>
    </xf>
    <xf numFmtId="164" fontId="6" fillId="26" borderId="1" applyAlignment="1" pivotButton="0" quotePrefix="0" xfId="0">
      <alignment horizontal="general" vertical="bottom"/>
    </xf>
    <xf numFmtId="0" fontId="6" fillId="26" borderId="1" applyAlignment="1" pivotButton="0" quotePrefix="0" xfId="0">
      <alignment horizontal="general" vertical="bottom"/>
    </xf>
    <xf numFmtId="0" fontId="6" fillId="26" borderId="1" applyAlignment="1" pivotButton="0" quotePrefix="0" xfId="0">
      <alignment horizontal="general" vertical="center" wrapText="1"/>
    </xf>
    <xf numFmtId="0" fontId="8" fillId="26" borderId="1" applyAlignment="1" pivotButton="0" quotePrefix="0" xfId="0">
      <alignment horizontal="general" vertical="center" wrapText="1"/>
    </xf>
    <xf numFmtId="0" fontId="9" fillId="26" borderId="1" applyAlignment="1" pivotButton="0" quotePrefix="0" xfId="0">
      <alignment horizontal="general" vertical="center" wrapText="1"/>
    </xf>
    <xf numFmtId="0" fontId="9" fillId="26" borderId="1" applyAlignment="1" pivotButton="0" quotePrefix="0" xfId="0">
      <alignment horizontal="general" vertical="bottom"/>
    </xf>
    <xf numFmtId="0" fontId="11" fillId="26" borderId="1" applyAlignment="1" pivotButton="0" quotePrefix="0" xfId="0">
      <alignment horizontal="general" vertical="center" wrapText="1"/>
    </xf>
    <xf numFmtId="0" fontId="11" fillId="26" borderId="1" applyAlignment="1" pivotButton="0" quotePrefix="0" xfId="0">
      <alignment horizontal="general" vertical="bottom"/>
    </xf>
    <xf numFmtId="0" fontId="10" fillId="26" borderId="1" applyAlignment="1" pivotButton="0" quotePrefix="0" xfId="0">
      <alignment horizontal="general" vertical="center" wrapText="1"/>
    </xf>
    <xf numFmtId="0" fontId="10" fillId="26" borderId="1" applyAlignment="1" pivotButton="0" quotePrefix="0" xfId="0">
      <alignment horizontal="general" vertical="bottom"/>
    </xf>
    <xf numFmtId="0" fontId="5" fillId="26" borderId="1" applyAlignment="1" pivotButton="0" quotePrefix="0" xfId="0">
      <alignment horizontal="general" vertical="bottom"/>
    </xf>
    <xf numFmtId="0" fontId="12" fillId="26" borderId="1" applyAlignment="1" pivotButton="0" quotePrefix="0" xfId="0">
      <alignment horizontal="general" vertical="center" wrapText="1"/>
    </xf>
    <xf numFmtId="0" fontId="12" fillId="26" borderId="1" applyAlignment="1" pivotButton="0" quotePrefix="0" xfId="0">
      <alignment horizontal="general" vertical="bottom"/>
    </xf>
    <xf numFmtId="164" fontId="6" fillId="27" borderId="1" applyAlignment="1" pivotButton="0" quotePrefix="0" xfId="0">
      <alignment horizontal="general" vertical="bottom"/>
    </xf>
    <xf numFmtId="0" fontId="6" fillId="27" borderId="1" applyAlignment="1" pivotButton="0" quotePrefix="0" xfId="0">
      <alignment horizontal="general" vertical="bottom"/>
    </xf>
    <xf numFmtId="0" fontId="10" fillId="27" borderId="1" applyAlignment="1" pivotButton="0" quotePrefix="0" xfId="0">
      <alignment horizontal="general" vertical="center" wrapText="1"/>
    </xf>
    <xf numFmtId="0" fontId="10" fillId="27" borderId="1" applyAlignment="1" pivotButton="0" quotePrefix="0" xfId="0">
      <alignment horizontal="general" vertical="bottom"/>
    </xf>
    <xf numFmtId="0" fontId="8" fillId="27" borderId="1" applyAlignment="1" pivotButton="0" quotePrefix="0" xfId="0">
      <alignment horizontal="general" vertical="center" wrapText="1"/>
    </xf>
    <xf numFmtId="0" fontId="5" fillId="27" borderId="1" applyAlignment="1" pivotButton="0" quotePrefix="0" xfId="0">
      <alignment horizontal="general" vertical="bottom"/>
    </xf>
    <xf numFmtId="0" fontId="12" fillId="27" borderId="1" applyAlignment="1" pivotButton="0" quotePrefix="0" xfId="0">
      <alignment horizontal="general" vertical="center" wrapText="1"/>
    </xf>
    <xf numFmtId="0" fontId="12" fillId="27" borderId="1" applyAlignment="1" pivotButton="0" quotePrefix="0" xfId="0">
      <alignment horizontal="general" vertical="bottom"/>
    </xf>
    <xf numFmtId="164" fontId="6" fillId="13" borderId="1" applyAlignment="1" pivotButton="0" quotePrefix="0" xfId="0">
      <alignment horizontal="general" vertical="bottom"/>
    </xf>
    <xf numFmtId="0" fontId="5" fillId="13" borderId="1" applyAlignment="1" pivotButton="0" quotePrefix="0" xfId="0">
      <alignment horizontal="general" vertical="bottom"/>
    </xf>
    <xf numFmtId="0" fontId="12" fillId="13" borderId="1" applyAlignment="1" pivotButton="0" quotePrefix="0" xfId="0">
      <alignment horizontal="general" vertical="center" wrapText="1"/>
    </xf>
    <xf numFmtId="0" fontId="12" fillId="13" borderId="1" applyAlignment="1" pivotButton="0" quotePrefix="0" xfId="0">
      <alignment horizontal="general" vertical="bottom"/>
    </xf>
    <xf numFmtId="0" fontId="8" fillId="13" borderId="1" applyAlignment="1" pivotButton="0" quotePrefix="0" xfId="0">
      <alignment horizontal="general" vertical="center" wrapText="1"/>
    </xf>
    <xf numFmtId="164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bottom"/>
    </xf>
    <xf numFmtId="0" fontId="14" fillId="14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center" wrapText="1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15" fillId="16" borderId="0" applyAlignment="1" pivotButton="0" quotePrefix="0" xfId="0">
      <alignment horizontal="general" vertical="bottom"/>
    </xf>
    <xf numFmtId="0" fontId="0" fillId="16" borderId="0" applyAlignment="1" pivotButton="0" quotePrefix="0" xfId="0">
      <alignment horizontal="general" vertical="bottom"/>
    </xf>
    <xf numFmtId="0" fontId="15" fillId="17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4" fillId="16" borderId="0" applyAlignment="1" pivotButton="0" quotePrefix="0" xfId="0">
      <alignment horizontal="general" vertical="bottom"/>
    </xf>
    <xf numFmtId="0" fontId="4" fillId="17" borderId="0" applyAlignment="1" pivotButton="0" quotePrefix="0" xfId="0">
      <alignment horizontal="general" vertical="bottom"/>
    </xf>
    <xf numFmtId="0" fontId="16" fillId="3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left" vertical="center" wrapText="1"/>
    </xf>
    <xf numFmtId="0" fontId="16" fillId="21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/>
    </xf>
    <xf numFmtId="0" fontId="18" fillId="19" borderId="1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19" fillId="19" borderId="1" applyAlignment="1" pivotButton="0" quotePrefix="0" xfId="0">
      <alignment horizontal="left" vertical="center" wrapText="1"/>
    </xf>
    <xf numFmtId="0" fontId="20" fillId="21" borderId="1" applyAlignment="1" pivotButton="0" quotePrefix="0" xfId="0">
      <alignment horizontal="left" vertical="center" wrapText="1"/>
    </xf>
    <xf numFmtId="0" fontId="16" fillId="24" borderId="1" applyAlignment="1" pivotButton="0" quotePrefix="0" xfId="0">
      <alignment horizontal="left" vertical="center" wrapText="1"/>
    </xf>
    <xf numFmtId="0" fontId="18" fillId="24" borderId="1" applyAlignment="1" pivotButton="0" quotePrefix="0" xfId="0">
      <alignment horizontal="left" vertical="center" wrapText="1"/>
    </xf>
    <xf numFmtId="0" fontId="19" fillId="24" borderId="1" applyAlignment="1" pivotButton="0" quotePrefix="0" xfId="0">
      <alignment horizontal="left" vertical="center" wrapText="1"/>
    </xf>
    <xf numFmtId="0" fontId="16" fillId="20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8" fillId="20" borderId="1" applyAlignment="1" pivotButton="0" quotePrefix="0" xfId="0">
      <alignment horizontal="left" vertical="center" wrapText="1"/>
    </xf>
    <xf numFmtId="0" fontId="20" fillId="20" borderId="1" applyAlignment="1" pivotButton="0" quotePrefix="0" xfId="0">
      <alignment horizontal="left" vertical="center" wrapText="1"/>
    </xf>
    <xf numFmtId="0" fontId="19" fillId="20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left" vertical="center" wrapText="1"/>
    </xf>
    <xf numFmtId="0" fontId="18" fillId="25" borderId="1" applyAlignment="1" pivotButton="0" quotePrefix="0" xfId="0">
      <alignment horizontal="left" vertical="center" wrapText="1"/>
    </xf>
    <xf numFmtId="0" fontId="19" fillId="25" borderId="1" applyAlignment="1" pivotButton="0" quotePrefix="0" xfId="0">
      <alignment horizontal="left" vertical="center" wrapText="1"/>
    </xf>
    <xf numFmtId="0" fontId="21" fillId="21" borderId="1" applyAlignment="1" pivotButton="0" quotePrefix="0" xfId="0">
      <alignment horizontal="left" vertical="center" wrapText="1"/>
    </xf>
    <xf numFmtId="0" fontId="16" fillId="26" borderId="1" applyAlignment="1" pivotButton="0" quotePrefix="0" xfId="0">
      <alignment horizontal="left" vertical="center" wrapText="1"/>
    </xf>
    <xf numFmtId="0" fontId="17" fillId="26" borderId="1" applyAlignment="1" pivotButton="0" quotePrefix="0" xfId="0">
      <alignment horizontal="left" vertical="center" wrapText="1"/>
    </xf>
    <xf numFmtId="0" fontId="21" fillId="26" borderId="1" applyAlignment="1" pivotButton="0" quotePrefix="0" xfId="0">
      <alignment horizontal="left" vertical="center" wrapText="1"/>
    </xf>
    <xf numFmtId="0" fontId="18" fillId="26" borderId="1" applyAlignment="1" pivotButton="0" quotePrefix="0" xfId="0">
      <alignment horizontal="left" vertical="center" wrapText="1"/>
    </xf>
    <xf numFmtId="0" fontId="19" fillId="26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left" vertical="center" wrapText="1"/>
    </xf>
    <xf numFmtId="0" fontId="19" fillId="27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164" fontId="6" fillId="5" borderId="1" applyAlignment="1" pivotButton="0" quotePrefix="0" xfId="0">
      <alignment horizontal="general" vertical="center"/>
    </xf>
    <xf numFmtId="0" fontId="6" fillId="5" borderId="1" applyAlignment="1" pivotButton="0" quotePrefix="0" xfId="0">
      <alignment horizontal="general" vertical="center"/>
    </xf>
    <xf numFmtId="0" fontId="9" fillId="5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164" fontId="6" fillId="19" borderId="1" applyAlignment="1" pivotButton="0" quotePrefix="0" xfId="0">
      <alignment horizontal="general" vertical="center"/>
    </xf>
    <xf numFmtId="0" fontId="6" fillId="19" borderId="1" applyAlignment="1" pivotButton="0" quotePrefix="0" xfId="0">
      <alignment horizontal="general" vertical="center"/>
    </xf>
    <xf numFmtId="164" fontId="6" fillId="21" borderId="1" applyAlignment="1" pivotButton="0" quotePrefix="0" xfId="0">
      <alignment horizontal="general" vertical="center"/>
    </xf>
    <xf numFmtId="0" fontId="6" fillId="21" borderId="1" applyAlignment="1" pivotButton="0" quotePrefix="0" xfId="0">
      <alignment horizontal="general" vertical="center"/>
    </xf>
    <xf numFmtId="0" fontId="10" fillId="19" borderId="1" applyAlignment="1" pivotButton="0" quotePrefix="0" xfId="0">
      <alignment horizontal="general" vertical="center"/>
    </xf>
    <xf numFmtId="0" fontId="5" fillId="19" borderId="1" applyAlignment="1" pivotButton="0" quotePrefix="0" xfId="0">
      <alignment horizontal="general" vertical="center"/>
    </xf>
    <xf numFmtId="0" fontId="12" fillId="19" borderId="1" applyAlignment="1" pivotButton="0" quotePrefix="0" xfId="0">
      <alignment horizontal="general" vertical="center"/>
    </xf>
    <xf numFmtId="0" fontId="13" fillId="21" borderId="1" applyAlignment="1" pivotButton="0" quotePrefix="0" xfId="0">
      <alignment horizontal="general" vertical="center"/>
    </xf>
    <xf numFmtId="164" fontId="6" fillId="24" borderId="1" applyAlignment="1" pivotButton="0" quotePrefix="0" xfId="0">
      <alignment horizontal="general" vertical="center"/>
    </xf>
    <xf numFmtId="0" fontId="6" fillId="24" borderId="1" applyAlignment="1" pivotButton="0" quotePrefix="0" xfId="0">
      <alignment horizontal="general" vertical="center"/>
    </xf>
    <xf numFmtId="0" fontId="10" fillId="24" borderId="1" applyAlignment="1" pivotButton="0" quotePrefix="0" xfId="0">
      <alignment horizontal="general" vertical="center"/>
    </xf>
    <xf numFmtId="0" fontId="5" fillId="24" borderId="1" applyAlignment="1" pivotButton="0" quotePrefix="0" xfId="0">
      <alignment horizontal="general" vertical="center"/>
    </xf>
    <xf numFmtId="0" fontId="12" fillId="24" borderId="1" applyAlignment="1" pivotButton="0" quotePrefix="0" xfId="0">
      <alignment horizontal="general" vertical="center"/>
    </xf>
    <xf numFmtId="164" fontId="6" fillId="20" borderId="1" applyAlignment="1" pivotButton="0" quotePrefix="0" xfId="0">
      <alignment horizontal="general" vertical="center"/>
    </xf>
    <xf numFmtId="0" fontId="6" fillId="20" borderId="1" applyAlignment="1" pivotButton="0" quotePrefix="0" xfId="0">
      <alignment horizontal="general" vertical="center"/>
    </xf>
    <xf numFmtId="0" fontId="9" fillId="20" borderId="1" applyAlignment="1" pivotButton="0" quotePrefix="0" xfId="0">
      <alignment horizontal="general" vertical="center"/>
    </xf>
    <xf numFmtId="0" fontId="11" fillId="20" borderId="1" applyAlignment="1" pivotButton="0" quotePrefix="0" xfId="0">
      <alignment horizontal="general" vertical="center"/>
    </xf>
    <xf numFmtId="0" fontId="10" fillId="20" borderId="1" applyAlignment="1" pivotButton="0" quotePrefix="0" xfId="0">
      <alignment horizontal="general" vertical="center"/>
    </xf>
    <xf numFmtId="0" fontId="13" fillId="20" borderId="1" applyAlignment="1" pivotButton="0" quotePrefix="0" xfId="0">
      <alignment horizontal="general" vertical="center"/>
    </xf>
    <xf numFmtId="0" fontId="5" fillId="20" borderId="1" applyAlignment="1" pivotButton="0" quotePrefix="0" xfId="0">
      <alignment horizontal="general" vertical="center"/>
    </xf>
    <xf numFmtId="0" fontId="12" fillId="20" borderId="1" applyAlignment="1" pivotButton="0" quotePrefix="0" xfId="0">
      <alignment horizontal="general" vertical="center"/>
    </xf>
    <xf numFmtId="164" fontId="6" fillId="9" borderId="1" applyAlignment="1" pivotButton="0" quotePrefix="0" xfId="0">
      <alignment horizontal="general" vertical="center"/>
    </xf>
    <xf numFmtId="0" fontId="6" fillId="9" borderId="1" applyAlignment="1" pivotButton="0" quotePrefix="0" xfId="0">
      <alignment horizontal="general" vertical="center"/>
    </xf>
    <xf numFmtId="0" fontId="13" fillId="9" borderId="1" applyAlignment="1" pivotButton="0" quotePrefix="0" xfId="0">
      <alignment horizontal="general" vertical="center"/>
    </xf>
    <xf numFmtId="0" fontId="9" fillId="9" borderId="1" applyAlignment="1" pivotButton="0" quotePrefix="0" xfId="0">
      <alignment horizontal="general" vertical="center"/>
    </xf>
    <xf numFmtId="0" fontId="10" fillId="9" borderId="1" applyAlignment="1" pivotButton="0" quotePrefix="0" xfId="0">
      <alignment horizontal="general" vertical="center"/>
    </xf>
    <xf numFmtId="164" fontId="6" fillId="4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12" fillId="4" borderId="1" applyAlignment="1" pivotButton="0" quotePrefix="0" xfId="0">
      <alignment horizontal="general" vertical="center"/>
    </xf>
    <xf numFmtId="164" fontId="6" fillId="10" borderId="1" applyAlignment="1" pivotButton="0" quotePrefix="0" xfId="0">
      <alignment horizontal="general" vertical="center"/>
    </xf>
    <xf numFmtId="0" fontId="6" fillId="10" borderId="1" applyAlignment="1" pivotButton="0" quotePrefix="0" xfId="0">
      <alignment horizontal="general" vertical="center"/>
    </xf>
    <xf numFmtId="0" fontId="10" fillId="10" borderId="1" applyAlignment="1" pivotButton="0" quotePrefix="0" xfId="0">
      <alignment horizontal="general" vertical="center"/>
    </xf>
    <xf numFmtId="0" fontId="9" fillId="10" borderId="1" applyAlignment="1" pivotButton="0" quotePrefix="0" xfId="0">
      <alignment horizontal="general" vertical="center"/>
    </xf>
    <xf numFmtId="0" fontId="11" fillId="10" borderId="1" applyAlignment="1" pivotButton="0" quotePrefix="0" xfId="0">
      <alignment horizontal="general" vertical="center"/>
    </xf>
    <xf numFmtId="0" fontId="13" fillId="10" borderId="1" applyAlignment="1" pivotButton="0" quotePrefix="0" xfId="0">
      <alignment horizontal="general" vertical="center"/>
    </xf>
    <xf numFmtId="164" fontId="6" fillId="25" borderId="1" applyAlignment="1" pivotButton="0" quotePrefix="0" xfId="0">
      <alignment horizontal="general" vertical="center"/>
    </xf>
    <xf numFmtId="0" fontId="6" fillId="25" borderId="1" applyAlignment="1" pivotButton="0" quotePrefix="0" xfId="0">
      <alignment horizontal="general" vertical="center"/>
    </xf>
    <xf numFmtId="0" fontId="10" fillId="25" borderId="1" applyAlignment="1" pivotButton="0" quotePrefix="0" xfId="0">
      <alignment horizontal="general" vertical="center"/>
    </xf>
    <xf numFmtId="0" fontId="5" fillId="25" borderId="1" applyAlignment="1" pivotButton="0" quotePrefix="0" xfId="0">
      <alignment horizontal="general" vertical="center"/>
    </xf>
    <xf numFmtId="0" fontId="12" fillId="25" borderId="1" applyAlignment="1" pivotButton="0" quotePrefix="0" xfId="0">
      <alignment horizontal="general" vertical="center"/>
    </xf>
    <xf numFmtId="0" fontId="11" fillId="21" borderId="1" applyAlignment="1" pivotButton="0" quotePrefix="0" xfId="0">
      <alignment horizontal="general" vertical="center"/>
    </xf>
    <xf numFmtId="164" fontId="6" fillId="26" borderId="1" applyAlignment="1" pivotButton="0" quotePrefix="0" xfId="0">
      <alignment horizontal="general" vertical="center"/>
    </xf>
    <xf numFmtId="0" fontId="6" fillId="26" borderId="1" applyAlignment="1" pivotButton="0" quotePrefix="0" xfId="0">
      <alignment horizontal="general" vertical="center"/>
    </xf>
    <xf numFmtId="0" fontId="9" fillId="26" borderId="1" applyAlignment="1" pivotButton="0" quotePrefix="0" xfId="0">
      <alignment horizontal="general" vertical="center"/>
    </xf>
    <xf numFmtId="0" fontId="11" fillId="26" borderId="1" applyAlignment="1" pivotButton="0" quotePrefix="0" xfId="0">
      <alignment horizontal="general" vertical="center"/>
    </xf>
    <xf numFmtId="0" fontId="10" fillId="26" borderId="1" applyAlignment="1" pivotButton="0" quotePrefix="0" xfId="0">
      <alignment horizontal="general" vertical="center"/>
    </xf>
    <xf numFmtId="0" fontId="5" fillId="26" borderId="1" applyAlignment="1" pivotButton="0" quotePrefix="0" xfId="0">
      <alignment horizontal="general" vertical="center"/>
    </xf>
    <xf numFmtId="0" fontId="12" fillId="26" borderId="1" applyAlignment="1" pivotButton="0" quotePrefix="0" xfId="0">
      <alignment horizontal="general" vertical="center"/>
    </xf>
    <xf numFmtId="164" fontId="6" fillId="27" borderId="1" applyAlignment="1" pivotButton="0" quotePrefix="0" xfId="0">
      <alignment horizontal="general" vertical="center"/>
    </xf>
    <xf numFmtId="0" fontId="6" fillId="27" borderId="1" applyAlignment="1" pivotButton="0" quotePrefix="0" xfId="0">
      <alignment horizontal="general" vertical="center"/>
    </xf>
    <xf numFmtId="0" fontId="10" fillId="27" borderId="1" applyAlignment="1" pivotButton="0" quotePrefix="0" xfId="0">
      <alignment horizontal="general" vertical="center"/>
    </xf>
    <xf numFmtId="0" fontId="5" fillId="27" borderId="1" applyAlignment="1" pivotButton="0" quotePrefix="0" xfId="0">
      <alignment horizontal="general" vertical="center"/>
    </xf>
    <xf numFmtId="0" fontId="12" fillId="27" borderId="1" applyAlignment="1" pivotButton="0" quotePrefix="0" xfId="0">
      <alignment horizontal="general" vertical="center"/>
    </xf>
    <xf numFmtId="164" fontId="6" fillId="13" borderId="1" applyAlignment="1" pivotButton="0" quotePrefix="0" xfId="0">
      <alignment horizontal="general" vertical="center"/>
    </xf>
    <xf numFmtId="0" fontId="5" fillId="13" borderId="1" applyAlignment="1" pivotButton="0" quotePrefix="0" xfId="0">
      <alignment horizontal="general" vertical="center"/>
    </xf>
    <xf numFmtId="0" fontId="12" fillId="13" borderId="1" applyAlignment="1" pivotButton="0" quotePrefix="0" xfId="0">
      <alignment horizontal="general" vertical="center"/>
    </xf>
    <xf numFmtId="164" fontId="14" fillId="14" borderId="1" applyAlignment="1" pivotButton="0" quotePrefix="0" xfId="0">
      <alignment horizontal="general" vertical="center"/>
    </xf>
    <xf numFmtId="0" fontId="14" fillId="14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EDEAE3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EAD1DC"/>
      <rgbColor rgb="FF7F7F7F"/>
      <rgbColor rgb="FFE7E6E6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4D6"/>
      <rgbColor rgb="FFD0E0E3"/>
      <rgbColor rgb="FFF4CCCC"/>
      <rgbColor rgb="FFD9E1F2"/>
      <rgbColor rgb="FFF9CB9C"/>
      <rgbColor rgb="FF3366FF"/>
      <rgbColor rgb="FF33CCCC"/>
      <rgbColor rgb="FF99CC00"/>
      <rgbColor rgb="FFFFCC00"/>
      <rgbColor rgb="FFFF9900"/>
      <rgbColor rgb="FFFF6600"/>
      <rgbColor rgb="FF8A8375"/>
      <rgbColor rgb="FFA6A6A6"/>
      <rgbColor rgb="FF1F4E79"/>
      <rgbColor rgb="FF339966"/>
      <rgbColor rgb="FF003300"/>
      <rgbColor rgb="FF333300"/>
      <rgbColor rgb="FF833C00"/>
      <rgbColor rgb="FF993366"/>
      <rgbColor rgb="FF2F5496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1" min="1" max="1"/>
    <col width="6" customWidth="1" style="141" min="2" max="2"/>
    <col width="7" customWidth="1" style="141" min="3" max="3"/>
    <col width="10" customWidth="1" style="141" min="4" max="4"/>
    <col width="58" customWidth="1" style="141" min="5" max="5"/>
    <col width="66" customWidth="1" style="141" min="6" max="6"/>
    <col width="20" customWidth="1" style="141" min="7" max="7"/>
    <col width="42" customWidth="1" style="141" min="8" max="8"/>
    <col width="38" customWidth="1" style="141" min="9" max="9"/>
    <col width="3" customWidth="1" style="141" min="10" max="10"/>
    <col width="12" customWidth="1" style="142" min="11" max="11"/>
    <col width="13" customWidth="1" style="142" min="12" max="12"/>
  </cols>
  <sheetData>
    <row r="1" ht="15" customHeight="1" s="142">
      <c r="A1" s="143" t="inlineStr">
        <is>
          <t>Date</t>
        </is>
      </c>
      <c r="B1" s="143" t="inlineStr">
        <is>
          <t>Day</t>
        </is>
      </c>
      <c r="C1" s="143" t="inlineStr">
        <is>
          <t>Mtg #</t>
        </is>
      </c>
      <c r="D1" s="143" t="inlineStr">
        <is>
          <t>Unit</t>
        </is>
      </c>
      <c r="E1" s="143" t="inlineStr">
        <is>
          <t>Class plan</t>
        </is>
      </c>
      <c r="F1" s="143" t="inlineStr">
        <is>
          <t>Resources</t>
        </is>
      </c>
      <c r="G1" s="143" t="inlineStr">
        <is>
          <t>Type</t>
        </is>
      </c>
      <c r="H1" s="143" t="inlineStr">
        <is>
          <t>If you are out sick</t>
        </is>
      </c>
      <c r="I1" s="143" t="inlineStr">
        <is>
          <t>Schedule notes</t>
        </is>
      </c>
      <c r="K1" s="144" t="inlineStr">
        <is>
          <t>Legend</t>
        </is>
      </c>
    </row>
    <row r="2" ht="29.5" customHeight="1" s="142">
      <c r="A2" s="340" t="n">
        <v>46268</v>
      </c>
      <c r="B2" s="341" t="inlineStr">
        <is>
          <t>Thu</t>
        </is>
      </c>
      <c r="C2" s="341" t="n">
        <v>1</v>
      </c>
      <c r="D2" s="341" t="inlineStr">
        <is>
          <t>Launch</t>
        </is>
      </c>
      <c r="E2" s="147" t="inlineStr">
        <is>
          <t>Day 1: Why macro matters • course map • AP exam anatomy • 20-question baseline diagnostic</t>
        </is>
      </c>
      <c r="F2" s="297" t="inlineStr">
        <is>
          <t>Deck: Unit 1/AP Macroeconomics Unit 1 (big deck), opening slides</t>
        </is>
      </c>
      <c r="G2" s="341" t="inlineStr">
        <is>
          <t>Launch</t>
        </is>
      </c>
      <c r="H2" s="148" t="inlineStr">
        <is>
          <t>RED - protect this day: reschedule, do not sub it</t>
        </is>
      </c>
      <c r="I2" s="149" t="n"/>
      <c r="K2" s="150" t="inlineStr">
        <is>
          <t>Launch</t>
        </is>
      </c>
    </row>
    <row r="3" ht="38.5" customHeight="1" s="142">
      <c r="A3" s="342" t="n">
        <v>46273</v>
      </c>
      <c r="B3" s="343" t="inlineStr">
        <is>
          <t>Tue</t>
        </is>
      </c>
      <c r="C3" s="343" t="n">
        <v>2</v>
      </c>
      <c r="D3" s="343" t="inlineStr">
        <is>
          <t>U1</t>
        </is>
      </c>
      <c r="E3" s="153" t="inlineStr">
        <is>
          <t>1.1 Scarcity, factors of production, 3 economic questions</t>
        </is>
      </c>
      <c r="F3" s="298" t="inlineStr">
        <is>
          <t>Deck: Unit 1/AP Macroeconomics Unit 1 (big deck), 1.1 slides
Also: Unit 1/Scarcity Opportunity Cost and PPC (ppsx)
AP Classroom: 1.1 videos + Topic Questions</t>
        </is>
      </c>
      <c r="G3" s="343" t="inlineStr">
        <is>
          <t>New content</t>
        </is>
      </c>
      <c r="H3" s="154" t="inlineStr">
        <is>
          <t>YELLOW - sub-able with kit; re-sync rule applies after</t>
        </is>
      </c>
      <c r="I3" s="155" t="n"/>
      <c r="K3" s="156" t="inlineStr">
        <is>
          <t>U1</t>
        </is>
      </c>
    </row>
    <row r="4" ht="50" customHeight="1" s="142">
      <c r="A4" s="342" t="n">
        <v>46274</v>
      </c>
      <c r="B4" s="343" t="inlineStr">
        <is>
          <t>Wed</t>
        </is>
      </c>
      <c r="C4" s="343" t="n">
        <v>3</v>
      </c>
      <c r="D4" s="343" t="inlineStr">
        <is>
          <t>U1</t>
        </is>
      </c>
      <c r="E4" s="153" t="inlineStr">
        <is>
          <t>1.2 Opportunity cost &amp; the PPC: shape, efficiency, unattainable pts</t>
        </is>
      </c>
      <c r="F4" s="298" t="inlineStr">
        <is>
          <t>Deck: Unit 1/Scarcity Opportunity Cost and PPC (ppsx)
Handout: Unit 1/Opportunity Cost and PPC - Classwork (+ answer key)
Also: Unit 1/PPC Notes, 10_Production_Possibilities
AP Classroom: 1.2 videos + Topic Questions</t>
        </is>
      </c>
      <c r="G4" s="343" t="inlineStr">
        <is>
          <t>New content</t>
        </is>
      </c>
      <c r="H4" s="154" t="inlineStr">
        <is>
          <t>YELLOW - sub-able with kit; re-sync rule applies after</t>
        </is>
      </c>
      <c r="I4" s="155" t="n"/>
      <c r="K4" s="157" t="inlineStr">
        <is>
          <t>U2</t>
        </is>
      </c>
    </row>
    <row r="5" ht="50" customHeight="1" s="142">
      <c r="A5" s="342" t="n">
        <v>46275</v>
      </c>
      <c r="B5" s="343" t="inlineStr">
        <is>
          <t>Thu</t>
        </is>
      </c>
      <c r="C5" s="343" t="n">
        <v>4</v>
      </c>
      <c r="D5" s="343" t="inlineStr">
        <is>
          <t>U1</t>
        </is>
      </c>
      <c r="E5" s="153" t="inlineStr">
        <is>
          <t>1.2 PPC shifts &amp; growth • per-unit opportunity cost calc</t>
        </is>
      </c>
      <c r="F5" s="298" t="inlineStr">
        <is>
          <t>Handout: Unit 1/Opportunity Cost and PPC - Classwork (+ answer key)
Also: Unit 1/Production Possibilities Curve (doc); Kunming/1 Production Possibilities Curve
AP Classroom: 1.2 Topic Questions</t>
        </is>
      </c>
      <c r="G5" s="343" t="inlineStr">
        <is>
          <t>New content</t>
        </is>
      </c>
      <c r="H5" s="154" t="inlineStr">
        <is>
          <t>YELLOW - sub-able with kit; re-sync rule applies after</t>
        </is>
      </c>
      <c r="I5" s="155" t="n"/>
      <c r="K5" s="158" t="inlineStr">
        <is>
          <t>U3</t>
        </is>
      </c>
    </row>
    <row r="6" ht="38.5" customHeight="1" s="142">
      <c r="A6" s="342" t="n">
        <v>46279</v>
      </c>
      <c r="B6" s="343" t="inlineStr">
        <is>
          <t>Mon</t>
        </is>
      </c>
      <c r="C6" s="343" t="n">
        <v>5</v>
      </c>
      <c r="D6" s="343" t="inlineStr">
        <is>
          <t>U1</t>
        </is>
      </c>
      <c r="E6" s="159" t="inlineStr">
        <is>
          <t>PPC speed-sketch drill + retrieval Do-Now (short fast-day period)</t>
        </is>
      </c>
      <c r="F6" s="299" t="inlineStr">
        <is>
          <t>Practice: Unit 1/10_Production_Possibilities, PPC Notes
Do Now questions: Unit 1/basic economic concepts multiple choice questions</t>
        </is>
      </c>
      <c r="G6" s="344" t="inlineStr">
        <is>
          <t>Drill</t>
        </is>
      </c>
      <c r="H6" s="161" t="inlineStr">
        <is>
          <t>GREEN - ideal sub day, kit runs itself</t>
        </is>
      </c>
      <c r="I6" s="155" t="inlineStr">
        <is>
          <t>Tzom Gedalia - 1:30 dismissal (SHORT/at-risk)</t>
        </is>
      </c>
      <c r="K6" s="162" t="inlineStr">
        <is>
          <t>U4</t>
        </is>
      </c>
    </row>
    <row r="7" ht="38.5" customHeight="1" s="142">
      <c r="A7" s="342" t="n">
        <v>46280</v>
      </c>
      <c r="B7" s="343" t="inlineStr">
        <is>
          <t>Tue</t>
        </is>
      </c>
      <c r="C7" s="343" t="n">
        <v>6</v>
      </c>
      <c r="D7" s="343" t="inlineStr">
        <is>
          <t>U1</t>
        </is>
      </c>
      <c r="E7" s="153" t="inlineStr">
        <is>
          <t>1.3 Comparative vs absolute advantage • output/input method</t>
        </is>
      </c>
      <c r="F7" s="298" t="inlineStr">
        <is>
          <t>Deck: Unit 1/comparative advantage (pps)
Handout: Unit 1/Comparative Advantage Note Sheet
AP Classroom: 1.3 videos + Topic Questions</t>
        </is>
      </c>
      <c r="G7" s="343" t="inlineStr">
        <is>
          <t>New content</t>
        </is>
      </c>
      <c r="H7" s="154" t="inlineStr">
        <is>
          <t>YELLOW - sub-able with kit; re-sync rule applies after</t>
        </is>
      </c>
      <c r="I7" s="155" t="n"/>
      <c r="K7" s="163" t="inlineStr">
        <is>
          <t>U5</t>
        </is>
      </c>
    </row>
    <row r="8" ht="29.5" customHeight="1" s="142">
      <c r="A8" s="342" t="n">
        <v>46281</v>
      </c>
      <c r="B8" s="343" t="inlineStr">
        <is>
          <t>Wed</t>
        </is>
      </c>
      <c r="C8" s="343" t="n">
        <v>7</v>
      </c>
      <c r="D8" s="343" t="inlineStr">
        <is>
          <t>U1</t>
        </is>
      </c>
      <c r="E8" s="159" t="inlineStr">
        <is>
          <t>1.3 Terms of trade calc gauntlet [micro-bridge: identical topic in AP Micro]</t>
        </is>
      </c>
      <c r="F8" s="299" t="inlineStr">
        <is>
          <t>Practice: Unit 1/23_Comparative_Advantage
AP Classroom: 1.3 FRQ "PPC and trade between France and Italy"</t>
        </is>
      </c>
      <c r="G8" s="344" t="inlineStr">
        <is>
          <t>Drill</t>
        </is>
      </c>
      <c r="H8" s="161" t="inlineStr">
        <is>
          <t>GREEN - ideal sub day, kit runs itself</t>
        </is>
      </c>
      <c r="I8" s="155" t="n"/>
      <c r="K8" s="164" t="inlineStr">
        <is>
          <t>U6</t>
        </is>
      </c>
    </row>
    <row r="9" ht="27" customHeight="1" s="142">
      <c r="A9" s="342" t="n">
        <v>46282</v>
      </c>
      <c r="B9" s="343" t="inlineStr">
        <is>
          <t>Thu</t>
        </is>
      </c>
      <c r="C9" s="343" t="n">
        <v>8</v>
      </c>
      <c r="D9" s="343" t="inlineStr">
        <is>
          <t>U1</t>
        </is>
      </c>
      <c r="E9" s="153" t="inlineStr">
        <is>
          <t>1.4 Demand: law of demand, TRIPE shifters [micro-bridge]</t>
        </is>
      </c>
      <c r="F9" s="298" t="inlineStr">
        <is>
          <t>Deck: Unit 1/1.4 Demand and 1.5 Supply
AP Classroom: 1.4 videos + Topic Questions</t>
        </is>
      </c>
      <c r="G9" s="343" t="inlineStr">
        <is>
          <t>New content</t>
        </is>
      </c>
      <c r="H9" s="154" t="inlineStr">
        <is>
          <t>YELLOW - sub-able with kit; re-sync rule applies after</t>
        </is>
      </c>
      <c r="I9" s="155" t="n"/>
      <c r="K9" s="165" t="inlineStr">
        <is>
          <t>Midterm</t>
        </is>
      </c>
    </row>
    <row r="10" ht="38.5" customHeight="1" s="142">
      <c r="A10" s="342" t="n">
        <v>46287</v>
      </c>
      <c r="B10" s="343" t="inlineStr">
        <is>
          <t>Tue</t>
        </is>
      </c>
      <c r="C10" s="343" t="n">
        <v>9</v>
      </c>
      <c r="D10" s="343" t="inlineStr">
        <is>
          <t>U1</t>
        </is>
      </c>
      <c r="E10" s="153" t="inlineStr">
        <is>
          <t>1.5 Supply: law of supply, shifters [micro-bridge]</t>
        </is>
      </c>
      <c r="F10" s="298" t="inlineStr">
        <is>
          <t>Deck: Unit 1/1.4 Demand and 1.5 Supply
Practice: Kunming/4 demand and supply
AP Classroom: 1.5 videos + Topic Questions</t>
        </is>
      </c>
      <c r="G10" s="343" t="inlineStr">
        <is>
          <t>New content</t>
        </is>
      </c>
      <c r="H10" s="154" t="inlineStr">
        <is>
          <t>YELLOW - sub-able with kit; re-sync rule applies after</t>
        </is>
      </c>
      <c r="I10" s="155" t="n"/>
      <c r="K10" s="166" t="inlineStr">
        <is>
          <t>Review</t>
        </is>
      </c>
    </row>
    <row r="11" ht="50" customHeight="1" s="142">
      <c r="A11" s="342" t="n">
        <v>46288</v>
      </c>
      <c r="B11" s="343" t="inlineStr">
        <is>
          <t>Wed</t>
        </is>
      </c>
      <c r="C11" s="343" t="n">
        <v>10</v>
      </c>
      <c r="D11" s="343" t="inlineStr">
        <is>
          <t>U1</t>
        </is>
      </c>
      <c r="E11" s="153" t="inlineStr">
        <is>
          <t>1.6 Equilibrium, disequilibrium, single &amp; double shifts</t>
        </is>
      </c>
      <c r="F11" s="298" t="inlineStr">
        <is>
          <t>Deck: Unit 1/1.6 Market Equilibrium
Practice: Unit 1/demand and supply (docx); Kunming/3 Market in Equilibrium
AP Classroom: 1.6 videos + Topic Questions</t>
        </is>
      </c>
      <c r="G11" s="343" t="inlineStr">
        <is>
          <t>New content</t>
        </is>
      </c>
      <c r="H11" s="154" t="inlineStr">
        <is>
          <t>YELLOW - sub-able with kit; re-sync rule applies after</t>
        </is>
      </c>
      <c r="I11" s="155" t="n"/>
      <c r="K11" s="167" t="inlineStr">
        <is>
          <t>Sprint</t>
        </is>
      </c>
    </row>
    <row r="12" ht="50" customHeight="1" s="142">
      <c r="A12" s="342" t="n">
        <v>46289</v>
      </c>
      <c r="B12" s="343" t="inlineStr">
        <is>
          <t>Thu</t>
        </is>
      </c>
      <c r="C12" s="343" t="n">
        <v>11</v>
      </c>
      <c r="D12" s="343" t="inlineStr">
        <is>
          <t>U1</t>
        </is>
      </c>
      <c r="E12" s="168" t="inlineStr">
        <is>
          <t>Unit 1 graph gauntlet • assign Progress Check 1 + light Sukkot packet</t>
        </is>
      </c>
      <c r="F12" s="300" t="inlineStr">
        <is>
          <t>Practice: Unit 1/supply and demand analysis (doc); Kunming/5 supply and demand analysis
AP Classroom: Unit 1 Progress Check (being assigned the week of Oct 5 instead)</t>
        </is>
      </c>
      <c r="G12" s="345" t="inlineStr">
        <is>
          <t>Review</t>
        </is>
      </c>
      <c r="H12" s="161" t="inlineStr">
        <is>
          <t>GREEN - ideal sub day, kit runs itself</t>
        </is>
      </c>
      <c r="I12" s="155" t="n"/>
      <c r="K12" s="170" t="inlineStr">
        <is>
          <t>PostAP</t>
        </is>
      </c>
    </row>
    <row r="13" ht="27" customHeight="1" s="142">
      <c r="A13" s="342" t="n">
        <v>46300</v>
      </c>
      <c r="B13" s="343" t="inlineStr">
        <is>
          <t>Mon</t>
        </is>
      </c>
      <c r="C13" s="343" t="n">
        <v>12</v>
      </c>
      <c r="D13" s="343" t="inlineStr">
        <is>
          <t>U1</t>
        </is>
      </c>
      <c r="E13" s="159" t="inlineStr">
        <is>
          <t>Re-entry retrieval relay: PPC/CA/S&amp;D after break</t>
        </is>
      </c>
      <c r="F13" s="299" t="inlineStr">
        <is>
          <t>Do Now questions: Unit 1/basic economic concepts multiple choice questions</t>
        </is>
      </c>
      <c r="G13" s="344" t="inlineStr">
        <is>
          <t>Drill</t>
        </is>
      </c>
      <c r="H13" s="161" t="inlineStr">
        <is>
          <t>GREEN - ideal sub day, kit runs itself</t>
        </is>
      </c>
      <c r="I13" s="155" t="n"/>
      <c r="K13" s="171" t="inlineStr">
        <is>
          <t>Micro</t>
        </is>
      </c>
    </row>
    <row r="14" ht="29.5" customHeight="1" s="142">
      <c r="A14" s="346" t="n">
        <v>46301</v>
      </c>
      <c r="B14" s="347" t="inlineStr">
        <is>
          <t>Tue</t>
        </is>
      </c>
      <c r="C14" s="347" t="n">
        <v>13</v>
      </c>
      <c r="D14" s="347" t="inlineStr">
        <is>
          <t>U1</t>
        </is>
      </c>
      <c r="E14" s="174" t="inlineStr">
        <is>
          <t>1.6 Market equilibrium: finished (single &amp; double shifts)</t>
        </is>
      </c>
      <c r="F14" s="301" t="inlineStr">
        <is>
          <t>Deck: Unit 1/1.6 Market Equilibrium</t>
        </is>
      </c>
      <c r="G14" s="347" t="inlineStr">
        <is>
          <t>New content</t>
        </is>
      </c>
      <c r="H14" s="175" t="inlineStr">
        <is>
          <t>YELLOW - sub-able with kit; re-sync rule applies after</t>
        </is>
      </c>
      <c r="I14" s="176" t="n"/>
    </row>
    <row r="15" ht="61.5" customHeight="1" s="142">
      <c r="A15" s="348" t="n">
        <v>46302</v>
      </c>
      <c r="B15" s="349" t="inlineStr">
        <is>
          <t>Wed</t>
        </is>
      </c>
      <c r="C15" s="349" t="n">
        <v>14</v>
      </c>
      <c r="D15" s="349" t="inlineStr">
        <is>
          <t>Micro</t>
        </is>
      </c>
      <c r="E15" s="179" t="inlineStr">
        <is>
          <t>Micro 2.8 Price ceilings &amp; floors: rent control, minimum wage [builds on 1.6; on the test]</t>
        </is>
      </c>
      <c r="F15" s="302" t="inlineStr">
        <is>
          <t>Deck: Micro Bridges/M1 Price Ceilings and Floors
Bring: index cards for the exit ticket
Homework: price ceiling or floor hunt (on the exit ticket slide)
AP Classroom: 1.1 to 1.6 videos + Topic Questions (already assigned)
Extra practice: Kunming/6 price ceiling, 7 price floor</t>
        </is>
      </c>
      <c r="G15" s="349" t="inlineStr">
        <is>
          <t>New content</t>
        </is>
      </c>
      <c r="H15" s="175" t="inlineStr">
        <is>
          <t>YELLOW - sub-able with kit; re-sync rule applies after</t>
        </is>
      </c>
      <c r="I15" s="180" t="n"/>
      <c r="K15" s="303" t="inlineStr">
        <is>
          <t>Resources key</t>
        </is>
      </c>
    </row>
    <row r="16" ht="73" customHeight="1" s="142">
      <c r="A16" s="346" t="n">
        <v>46303</v>
      </c>
      <c r="B16" s="347" t="inlineStr">
        <is>
          <t>Thu</t>
        </is>
      </c>
      <c r="C16" s="347" t="n">
        <v>15</v>
      </c>
      <c r="D16" s="347" t="inlineStr">
        <is>
          <t>U1</t>
        </is>
      </c>
      <c r="E16" s="181" t="inlineStr">
        <is>
          <t>Unit 1 review + 1996 Unit 1 FRQ walk-through (include price ceilings &amp; floors)</t>
        </is>
      </c>
      <c r="F16" s="304" t="inlineStr">
        <is>
          <t>FRQ: Unit 1/1996 unit 1 frq (Toledo circus tickets). No scoring guide for it in your files yet
Practice: M1 deck, AP practice set (the slides after the exit ticket)
AP Classroom: assign the Unit 1 Progress Check (MCQ + FRQ), due Sunday night
Extra practice: Kunming/3 Market in Equilibrium, 6 price ceiling</t>
        </is>
      </c>
      <c r="G16" s="350" t="inlineStr">
        <is>
          <t>Review</t>
        </is>
      </c>
      <c r="H16" s="183" t="inlineStr">
        <is>
          <t>GREEN - ideal sub day, kit runs itself</t>
        </is>
      </c>
      <c r="I16" s="176" t="n"/>
      <c r="K16" s="305" t="inlineStr">
        <is>
          <t>Paths start in Econ/Macro</t>
        </is>
      </c>
    </row>
    <row r="17" ht="50" customHeight="1" s="142">
      <c r="A17" s="346" t="n">
        <v>46307</v>
      </c>
      <c r="B17" s="351" t="inlineStr">
        <is>
          <t>Mon</t>
        </is>
      </c>
      <c r="C17" s="351" t="n">
        <v>16</v>
      </c>
      <c r="D17" s="351" t="inlineStr">
        <is>
          <t>U1</t>
        </is>
      </c>
      <c r="E17" s="185" t="inlineStr">
        <is>
          <t>UNIT 1 TEST (15 MCQ + 1 short FRQ, AP-style) + 3 MCQ on price ceilings &amp; floors</t>
        </is>
      </c>
      <c r="F17" s="306" t="inlineStr">
        <is>
          <t>Test: Unit 1 test (not in your folder yet)
Price control MCQs: hidden slide at the end of M1
Question sources: AP Classroom Question Bank; Unit 1/basic economic concepts multiple choice questions</t>
        </is>
      </c>
      <c r="G17" s="352" t="inlineStr">
        <is>
          <t>TEST</t>
        </is>
      </c>
      <c r="H17" s="187" t="inlineStr">
        <is>
          <t>RED - protect this day: reschedule, do not sub it</t>
        </is>
      </c>
      <c r="I17" s="176" t="inlineStr">
        <is>
          <t>Columbus Day - no district transportation (UNIT 1 TEST: plan make-ups)</t>
        </is>
      </c>
      <c r="K17" s="305" t="inlineStr">
        <is>
          <t>Micro/ = Econ/Micro</t>
        </is>
      </c>
    </row>
    <row r="18" ht="29.5" customHeight="1" s="142">
      <c r="A18" s="348" t="n">
        <v>46308</v>
      </c>
      <c r="B18" s="349" t="inlineStr">
        <is>
          <t>Tue</t>
        </is>
      </c>
      <c r="C18" s="349" t="n">
        <v>17</v>
      </c>
      <c r="D18" s="349" t="inlineStr">
        <is>
          <t>Micro</t>
        </is>
      </c>
      <c r="E18" s="179" t="inlineStr">
        <is>
          <t>Micro 2.6 Consumer &amp; producer surplus + deadweight loss (what rent control costs)</t>
        </is>
      </c>
      <c r="F18" s="302" t="inlineStr">
        <is>
          <t>Deck: Micro Bridges/M2 Consumer and Producer Surplus
Also: Unit 1/welfare analysis multiple choice</t>
        </is>
      </c>
      <c r="G18" s="349" t="inlineStr">
        <is>
          <t>New content</t>
        </is>
      </c>
      <c r="H18" s="175" t="inlineStr">
        <is>
          <t>YELLOW - sub-able with kit; re-sync rule applies after</t>
        </is>
      </c>
      <c r="I18" s="180" t="n"/>
      <c r="K18" s="305" t="inlineStr">
        <is>
          <t>Kunming/ = Macro Economics/David_$ AP Macro/Kunming AP Conference</t>
        </is>
      </c>
    </row>
    <row r="19" ht="29.5" customHeight="1" s="142">
      <c r="A19" s="348" t="n">
        <v>46309</v>
      </c>
      <c r="B19" s="349" t="inlineStr">
        <is>
          <t>Wed</t>
        </is>
      </c>
      <c r="C19" s="349" t="n">
        <v>18</v>
      </c>
      <c r="D19" s="349" t="inlineStr">
        <is>
          <t>Micro</t>
        </is>
      </c>
      <c r="E19" s="179" t="inlineStr">
        <is>
          <t>Micro 2.3 Price elasticity of demand: elastic vs inelastic, total revenue test</t>
        </is>
      </c>
      <c r="F19" s="302" t="inlineStr">
        <is>
          <t>Deck: Micro Bridges/M3 Price Elasticity of Demand</t>
        </is>
      </c>
      <c r="G19" s="349" t="inlineStr">
        <is>
          <t>New content</t>
        </is>
      </c>
      <c r="H19" s="175" t="inlineStr">
        <is>
          <t>YELLOW - sub-able with kit; re-sync rule applies after</t>
        </is>
      </c>
      <c r="I19" s="180" t="n"/>
      <c r="K19" s="305" t="inlineStr">
        <is>
          <t>Videos/ = Macro Economics/David_$ AP Macro/Dave_$ Videos!</t>
        </is>
      </c>
    </row>
    <row r="20" ht="29.5" customHeight="1" s="142">
      <c r="A20" s="348" t="n">
        <v>46310</v>
      </c>
      <c r="B20" s="349" t="inlineStr">
        <is>
          <t>Thu</t>
        </is>
      </c>
      <c r="C20" s="349" t="n">
        <v>19</v>
      </c>
      <c r="D20" s="349" t="inlineStr">
        <is>
          <t>Micro</t>
        </is>
      </c>
      <c r="E20" s="179" t="inlineStr">
        <is>
          <t>Micro 2.8 Taxes &amp; subsidies: who really pays a tax, deadweight loss (uses elasticity)</t>
        </is>
      </c>
      <c r="F20" s="302" t="inlineStr">
        <is>
          <t>Deck: Micro Bridges/M4 Taxes and Subsidies
Also: Unit 1/welfare analysis frqs + rubrics</t>
        </is>
      </c>
      <c r="G20" s="349" t="inlineStr">
        <is>
          <t>New content</t>
        </is>
      </c>
      <c r="H20" s="175" t="inlineStr">
        <is>
          <t>YELLOW - sub-able with kit; re-sync rule applies after</t>
        </is>
      </c>
      <c r="I20" s="180" t="n"/>
      <c r="K20" s="305" t="inlineStr">
        <is>
          <t>Prep/ = Macro Economics/David_$ AP Macro/Preparing for the AP Economics Exam</t>
        </is>
      </c>
    </row>
    <row r="21" ht="29.5" customHeight="1" s="142">
      <c r="A21" s="348" t="n">
        <v>46314</v>
      </c>
      <c r="B21" s="349" t="inlineStr">
        <is>
          <t>Mon</t>
        </is>
      </c>
      <c r="C21" s="349" t="n">
        <v>20</v>
      </c>
      <c r="D21" s="349" t="inlineStr">
        <is>
          <t>Micro</t>
        </is>
      </c>
      <c r="E21" s="179" t="inlineStr">
        <is>
          <t>Micro 2.9 Tariffs &amp; quotas: a tax on imports, who wins and loses (builds on 1.3)</t>
        </is>
      </c>
      <c r="F21" s="302" t="inlineStr">
        <is>
          <t>Deck: Micro Bridges/M5 Tariffs and Quotas
Also: Unit 1/trade barriers; Kunming/8 quota, 9 tariff</t>
        </is>
      </c>
      <c r="G21" s="349" t="inlineStr">
        <is>
          <t>New content</t>
        </is>
      </c>
      <c r="H21" s="175" t="inlineStr">
        <is>
          <t>YELLOW - sub-able with kit; re-sync rule applies after</t>
        </is>
      </c>
      <c r="I21" s="180" t="n"/>
      <c r="K21" s="305" t="inlineStr">
        <is>
          <t>Arcade = your Econ Arcade, dbassin12.github.io/drs-econ-arcade</t>
        </is>
      </c>
    </row>
    <row r="22" ht="29.5" customHeight="1" s="142">
      <c r="A22" s="348" t="n">
        <v>46315</v>
      </c>
      <c r="B22" s="349" t="inlineStr">
        <is>
          <t>Tue</t>
        </is>
      </c>
      <c r="C22" s="349" t="n">
        <v>21</v>
      </c>
      <c r="D22" s="349" t="inlineStr">
        <is>
          <t>Micro</t>
        </is>
      </c>
      <c r="E22" s="188" t="inlineStr">
        <is>
          <t>Micro review game + MICRO QUIZ 1 (price controls, surplus, elasticity, taxes, tariffs)</t>
        </is>
      </c>
      <c r="F22" s="307" t="inlineStr">
        <is>
          <t>Deck: Micro Bridges/M6 Micro Review Game
Quiz: Micro Bridges/M6 Micro Quiz 1 + Answer Key (Word and PDF)</t>
        </is>
      </c>
      <c r="G22" s="353" t="inlineStr">
        <is>
          <t>Check for understanding</t>
        </is>
      </c>
      <c r="H22" s="183" t="inlineStr">
        <is>
          <t>GREEN - ideal sub day, kit runs itself</t>
        </is>
      </c>
      <c r="I22" s="180" t="n"/>
      <c r="K22" s="305" t="inlineStr">
        <is>
          <t>AP Classroom "videos + Topic Questions" = the AP Daily videos and Topic Questions for that topic</t>
        </is>
      </c>
    </row>
    <row r="23" ht="73" customHeight="1" s="142">
      <c r="A23" s="354" t="n">
        <v>46316</v>
      </c>
      <c r="B23" s="355" t="inlineStr">
        <is>
          <t>Wed</t>
        </is>
      </c>
      <c r="C23" s="355" t="n">
        <v>22</v>
      </c>
      <c r="D23" s="355" t="inlineStr">
        <is>
          <t>U2</t>
        </is>
      </c>
      <c r="E23" s="192" t="inlineStr">
        <is>
          <t>2.1 Circular flow &amp; GDP: expenditure approach [manipulatives activity]</t>
        </is>
      </c>
      <c r="F23" s="308" t="inlineStr">
        <is>
          <t>Deck: Unit 2/AP Macroeconomics Unit 2 (big deck), circular flow + GDP; Unit 2/Circular Flow
Activity: Unit 2/circular flow manipulatives + circular flow (blank, without arrows) + circular flow vocabulary
Also: Unit 2/04_Circular_Flow_Diagram
AP Classroom: 2.1 videos + Topic Questions</t>
        </is>
      </c>
      <c r="G23" s="355" t="inlineStr">
        <is>
          <t>New content</t>
        </is>
      </c>
      <c r="H23" s="175" t="inlineStr">
        <is>
          <t>YELLOW - sub-able with kit; re-sync rule applies after</t>
        </is>
      </c>
      <c r="I23" s="193" t="inlineStr">
        <is>
          <t>PSAT day (juniors out if any)</t>
        </is>
      </c>
    </row>
    <row r="24" ht="61.5" customHeight="1" s="142">
      <c r="A24" s="354" t="n">
        <v>46317</v>
      </c>
      <c r="B24" s="355" t="inlineStr">
        <is>
          <t>Thu</t>
        </is>
      </c>
      <c r="C24" s="355" t="n">
        <v>23</v>
      </c>
      <c r="D24" s="355" t="inlineStr">
        <is>
          <t>U2</t>
        </is>
      </c>
      <c r="E24" s="192" t="inlineStr">
        <is>
          <t>2.1 GDP: income approach • counted / not-counted sort</t>
        </is>
      </c>
      <c r="F24" s="308" t="inlineStr">
        <is>
          <t>Deck: Unit 2 big deck, GDP slides; Unit 2/GDP (pps)
Activity: Unit 2/Counted or not counted in GDP
Arcade: Sort Circuit, GDP or Not deck
Also: _Misc/06_Gross_Domestic_Product
AP Classroom: 2.1 Topic Questions</t>
        </is>
      </c>
      <c r="G24" s="355" t="inlineStr">
        <is>
          <t>New content</t>
        </is>
      </c>
      <c r="H24" s="175" t="inlineStr">
        <is>
          <t>YELLOW - sub-able with kit; re-sync rule applies after</t>
        </is>
      </c>
      <c r="I24" s="193" t="n"/>
    </row>
    <row r="25" ht="38.5" customHeight="1" s="142">
      <c r="A25" s="354" t="n">
        <v>46321</v>
      </c>
      <c r="B25" s="355" t="inlineStr">
        <is>
          <t>Mon</t>
        </is>
      </c>
      <c r="C25" s="355" t="n">
        <v>24</v>
      </c>
      <c r="D25" s="355" t="inlineStr">
        <is>
          <t>U2</t>
        </is>
      </c>
      <c r="E25" s="192" t="inlineStr">
        <is>
          <t>2.2 Limitations of GDP (non-market, underground, quality of life, pollution)</t>
        </is>
      </c>
      <c r="F25" s="308" t="inlineStr">
        <is>
          <t>Deck: Unit 2 big deck, limits of GDP slides
Arcade: Sort Circuit, GDP or Not deck
AP Classroom: 2.2 videos + Topic Questions</t>
        </is>
      </c>
      <c r="G25" s="355" t="inlineStr">
        <is>
          <t>New content</t>
        </is>
      </c>
      <c r="H25" s="175" t="inlineStr">
        <is>
          <t>YELLOW - sub-able with kit; re-sync rule applies after</t>
        </is>
      </c>
      <c r="I25" s="193" t="n"/>
    </row>
    <row r="26" ht="73" customHeight="1" s="142">
      <c r="A26" s="354" t="n">
        <v>46322</v>
      </c>
      <c r="B26" s="355" t="inlineStr">
        <is>
          <t>Tue</t>
        </is>
      </c>
      <c r="C26" s="355" t="n">
        <v>25</v>
      </c>
      <c r="D26" s="355" t="inlineStr">
        <is>
          <t>U2</t>
        </is>
      </c>
      <c r="E26" s="192" t="inlineStr">
        <is>
          <t>2.3 Unemployment: types + M&amp;Ms activity • unemployment rate &amp; LFPR calc</t>
        </is>
      </c>
      <c r="F26" s="308" t="inlineStr">
        <is>
          <t>Deck: Unit 2 big deck, unemployment slides; Unit 2/business cycle and unemployment (pps)
Activity: Kunming/20 M&amp;Ms Unemployment (bring M&amp;Ms)
Also: Unit 2/Labor Force &amp; Unemployment, 09_Unemployment
Arcade: Calc Blitz, Measuring the Economy
AP Classroom: 2.3 videos + Topic Questions</t>
        </is>
      </c>
      <c r="G26" s="355" t="inlineStr">
        <is>
          <t>New content</t>
        </is>
      </c>
      <c r="H26" s="175" t="inlineStr">
        <is>
          <t>YELLOW - sub-able with kit; re-sync rule applies after</t>
        </is>
      </c>
      <c r="I26" s="193" t="n"/>
    </row>
    <row r="27" ht="50" customHeight="1" s="142">
      <c r="A27" s="354" t="n">
        <v>46323</v>
      </c>
      <c r="B27" s="355" t="inlineStr">
        <is>
          <t>Wed</t>
        </is>
      </c>
      <c r="C27" s="355" t="n">
        <v>26</v>
      </c>
      <c r="D27" s="355" t="inlineStr">
        <is>
          <t>U2</t>
        </is>
      </c>
      <c r="E27" s="192" t="inlineStr">
        <is>
          <t>2.4 Price indices &amp; CPI [Candy Price Inflation activity]</t>
        </is>
      </c>
      <c r="F27" s="308" t="inlineStr">
        <is>
          <t>Deck: Unit 2 big deck, CPI slides
Activity: Unit 2/Candy Price Inflation (instructions + pages 1 and 2)
Also: Unit 2/inflation and price indices, 08_CPI_and_GDP_Deflator
AP Classroom: 2.4 videos + Topic Questions</t>
        </is>
      </c>
      <c r="G27" s="355" t="inlineStr">
        <is>
          <t>New content</t>
        </is>
      </c>
      <c r="H27" s="175" t="inlineStr">
        <is>
          <t>YELLOW - sub-able with kit; re-sync rule applies after</t>
        </is>
      </c>
      <c r="I27" s="193" t="n"/>
    </row>
    <row r="28" ht="50" customHeight="1" s="142">
      <c r="A28" s="354" t="n">
        <v>46324</v>
      </c>
      <c r="B28" s="355" t="inlineStr">
        <is>
          <t>Thu</t>
        </is>
      </c>
      <c r="C28" s="355" t="n">
        <v>27</v>
      </c>
      <c r="D28" s="355" t="inlineStr">
        <is>
          <t>U2</t>
        </is>
      </c>
      <c r="E28" s="192" t="inlineStr">
        <is>
          <t>2.4 CPI/inflation-rate calcs + Inflation at the Movies</t>
        </is>
      </c>
      <c r="F28" s="308" t="inlineStr">
        <is>
          <t>Activity: Unit 2/Inflation at the Movies
Practice: Unit 2/08_CPI_and_GDP_Deflator
Arcade: Calc Blitz, Measuring the Economy
AP Classroom: 2.4 Topic Questions</t>
        </is>
      </c>
      <c r="G28" s="355" t="inlineStr">
        <is>
          <t>New content</t>
        </is>
      </c>
      <c r="H28" s="175" t="inlineStr">
        <is>
          <t>YELLOW - sub-able with kit; re-sync rule applies after</t>
        </is>
      </c>
      <c r="I28" s="193" t="n"/>
    </row>
    <row r="29" ht="50" customHeight="1" s="142">
      <c r="A29" s="354" t="n">
        <v>46328</v>
      </c>
      <c r="B29" s="355" t="inlineStr">
        <is>
          <t>Mon</t>
        </is>
      </c>
      <c r="C29" s="355" t="n">
        <v>28</v>
      </c>
      <c r="D29" s="355" t="inlineStr">
        <is>
          <t>U2</t>
        </is>
      </c>
      <c r="E29" s="192" t="inlineStr">
        <is>
          <t>2.5 Costs of inflation: winners/losers, menu &amp; shoe-leather</t>
        </is>
      </c>
      <c r="F29" s="308" t="inlineStr">
        <is>
          <t>Deck: Unit 2 big deck, costs of inflation slides; Unit 2/Inflation and Interest Rates (pps)
Also: Unit 2/inflation (doc); Kunming/21 inflation
AP Classroom: 2.5 videos + Topic Questions</t>
        </is>
      </c>
      <c r="G29" s="355" t="inlineStr">
        <is>
          <t>New content</t>
        </is>
      </c>
      <c r="H29" s="175" t="inlineStr">
        <is>
          <t>YELLOW - sub-able with kit; re-sync rule applies after</t>
        </is>
      </c>
      <c r="I29" s="193" t="n"/>
    </row>
    <row r="30" ht="50" customHeight="1" s="142">
      <c r="A30" s="354" t="n">
        <v>46329</v>
      </c>
      <c r="B30" s="355" t="inlineStr">
        <is>
          <t>Tue</t>
        </is>
      </c>
      <c r="C30" s="355" t="n">
        <v>29</v>
      </c>
      <c r="D30" s="355" t="inlineStr">
        <is>
          <t>U2</t>
        </is>
      </c>
      <c r="E30" s="192" t="inlineStr">
        <is>
          <t>2.6 Real vs nominal GDP • GDP deflator + calc practice</t>
        </is>
      </c>
      <c r="F30" s="308" t="inlineStr">
        <is>
          <t>Deck: Unit 2 big deck, real vs nominal GDP slides
Practice: Unit 2/08_CPI_and_GDP_Deflator
Arcade: Calc Blitz, Measuring the Economy
AP Classroom: 2.6 videos + Topic Questions</t>
        </is>
      </c>
      <c r="G30" s="355" t="inlineStr">
        <is>
          <t>New content</t>
        </is>
      </c>
      <c r="H30" s="175" t="inlineStr">
        <is>
          <t>YELLOW - sub-able with kit; re-sync rule applies after</t>
        </is>
      </c>
      <c r="I30" s="193" t="n"/>
    </row>
    <row r="31" ht="50" customHeight="1" s="142">
      <c r="A31" s="354" t="n">
        <v>46330</v>
      </c>
      <c r="B31" s="355" t="inlineStr">
        <is>
          <t>Wed</t>
        </is>
      </c>
      <c r="C31" s="355" t="n">
        <v>30</v>
      </c>
      <c r="D31" s="355" t="inlineStr">
        <is>
          <t>U2</t>
        </is>
      </c>
      <c r="E31" s="192" t="inlineStr">
        <is>
          <t>2.7 Business cycle: phases, peaks/troughs, indicators</t>
        </is>
      </c>
      <c r="F31" s="308" t="inlineStr">
        <is>
          <t>Deck: Unit 2 big deck, business cycle slides; Unit 2/business cycle and unemployment (pps)
Also: Unit 2/05_Business_Cycle; video Unit 2/The Business Cycle (wmv)
AP Classroom: 2.7 videos + Topic Questions</t>
        </is>
      </c>
      <c r="G31" s="355" t="inlineStr">
        <is>
          <t>New content</t>
        </is>
      </c>
      <c r="H31" s="175" t="inlineStr">
        <is>
          <t>YELLOW - sub-able with kit; re-sync rule applies after</t>
        </is>
      </c>
      <c r="I31" s="193" t="n"/>
    </row>
    <row r="32" ht="38.5" customHeight="1" s="142">
      <c r="A32" s="354" t="n">
        <v>46331</v>
      </c>
      <c r="B32" s="355" t="inlineStr">
        <is>
          <t>Thu</t>
        </is>
      </c>
      <c r="C32" s="355" t="n">
        <v>31</v>
      </c>
      <c r="D32" s="355" t="inlineStr">
        <is>
          <t>U2</t>
        </is>
      </c>
      <c r="E32" s="194" t="inlineStr">
        <is>
          <t>Unit 2 review game + calc gauntlet (deflator/CPI/real GDP) • assign Progress Check 2</t>
        </is>
      </c>
      <c r="F32" s="309" t="inlineStr">
        <is>
          <t>Arcade: Calc Blitz, Measuring the Economy; Sort Circuit, GDP or Not deck
Practice: Unit 2/gdp mc; gdp, unemployment, inflation workbook
AP Classroom: assign the Unit 2 Progress Check</t>
        </is>
      </c>
      <c r="G32" s="356" t="inlineStr">
        <is>
          <t>Review</t>
        </is>
      </c>
      <c r="H32" s="183" t="inlineStr">
        <is>
          <t>GREEN - ideal sub day, kit runs itself</t>
        </is>
      </c>
      <c r="I32" s="193" t="n"/>
    </row>
    <row r="33" ht="61.5" customHeight="1" s="142">
      <c r="A33" s="354" t="n">
        <v>46335</v>
      </c>
      <c r="B33" s="357" t="inlineStr">
        <is>
          <t>Mon</t>
        </is>
      </c>
      <c r="C33" s="357" t="n">
        <v>32</v>
      </c>
      <c r="D33" s="357" t="inlineStr">
        <is>
          <t>U2</t>
        </is>
      </c>
      <c r="E33" s="197" t="inlineStr">
        <is>
          <t>UNIT 2 TEST (18 MCQ + 1 short FRQ) + 3 micro MCQ (spaced review)</t>
        </is>
      </c>
      <c r="F33" s="310" t="inlineStr">
        <is>
          <t>Test: Unit 2 test (not in your folder yet)
Micro MCQs: hidden test-bank slides at the end of M2, M3, M4, M5 and M6 (pick 3)
Question sources: AP Classroom Question Bank; Unit 2/gdp mc; Unit 2/unit2frq031 + unit2rubric035</t>
        </is>
      </c>
      <c r="G33" s="358" t="inlineStr">
        <is>
          <t>TEST</t>
        </is>
      </c>
      <c r="H33" s="187" t="inlineStr">
        <is>
          <t>RED - protect this day: reschedule, do not sub it</t>
        </is>
      </c>
      <c r="I33" s="193" t="n"/>
    </row>
    <row r="34" ht="27" customHeight="1" s="142">
      <c r="A34" s="354" t="n">
        <v>46336</v>
      </c>
      <c r="B34" s="355" t="inlineStr">
        <is>
          <t>Tue</t>
        </is>
      </c>
      <c r="C34" s="355" t="n">
        <v>33</v>
      </c>
      <c r="D34" s="355" t="inlineStr">
        <is>
          <t>U2</t>
        </is>
      </c>
      <c r="E34" s="194" t="inlineStr">
        <is>
          <t>Test debrief + FRQ rewrite protocol (error log starts)</t>
        </is>
      </c>
      <c r="F34" s="309" t="inlineStr">
        <is>
          <t>Rubric: Unit 2/unit 2 frq rubric
Graded tests (error log starts)</t>
        </is>
      </c>
      <c r="G34" s="356" t="inlineStr">
        <is>
          <t>Review</t>
        </is>
      </c>
      <c r="H34" s="175" t="inlineStr">
        <is>
          <t>YELLOW - sub-able with kit; re-sync rule applies after</t>
        </is>
      </c>
      <c r="I34" s="193" t="n"/>
    </row>
    <row r="35" ht="38.5" customHeight="1" s="142">
      <c r="A35" s="359" t="n">
        <v>46337</v>
      </c>
      <c r="B35" s="360" t="inlineStr">
        <is>
          <t>Wed</t>
        </is>
      </c>
      <c r="C35" s="360" t="n">
        <v>34</v>
      </c>
      <c r="D35" s="360" t="inlineStr">
        <is>
          <t>U3</t>
        </is>
      </c>
      <c r="E35" s="201" t="inlineStr">
        <is>
          <t>3.1 Aggregate demand &amp; why it slopes down (WIN)</t>
        </is>
      </c>
      <c r="F35" s="311" t="inlineStr">
        <is>
          <t>Deck: Unit 3/Unit3_1_Aggregate_Demand
Also: Unit 3/Unit3_1_AD_StudyGuide (html)
AP Classroom: 3.1 videos + Topic Questions</t>
        </is>
      </c>
      <c r="G35" s="360" t="inlineStr">
        <is>
          <t>New content</t>
        </is>
      </c>
      <c r="H35" s="175" t="inlineStr">
        <is>
          <t>YELLOW - sub-able with kit; re-sync rule applies after</t>
        </is>
      </c>
      <c r="I35" s="202" t="inlineStr">
        <is>
          <t>Veterans Day - no district transportation</t>
        </is>
      </c>
    </row>
    <row r="36" ht="38.5" customHeight="1" s="142">
      <c r="A36" s="359" t="n">
        <v>46338</v>
      </c>
      <c r="B36" s="360" t="inlineStr">
        <is>
          <t>Thu</t>
        </is>
      </c>
      <c r="C36" s="360" t="n">
        <v>35</v>
      </c>
      <c r="D36" s="360" t="inlineStr">
        <is>
          <t>U3</t>
        </is>
      </c>
      <c r="E36" s="201" t="inlineStr">
        <is>
          <t>3.1 AD shifters + AD interactive game</t>
        </is>
      </c>
      <c r="F36" s="311" t="inlineStr">
        <is>
          <t>Deck: Unit 3/Unit3_1_Aggregate_Demand
Game: Unit 3/Unit3_1_AD_Game (html); Arcade: Shift Happens, level 1
AP Classroom: 3.1 Topic Questions</t>
        </is>
      </c>
      <c r="G36" s="360" t="inlineStr">
        <is>
          <t>New content</t>
        </is>
      </c>
      <c r="H36" s="175" t="inlineStr">
        <is>
          <t>YELLOW - sub-able with kit; re-sync rule applies after</t>
        </is>
      </c>
      <c r="I36" s="202" t="n"/>
    </row>
    <row r="37" ht="73" customHeight="1" s="142">
      <c r="A37" s="359" t="n">
        <v>46342</v>
      </c>
      <c r="B37" s="360" t="inlineStr">
        <is>
          <t>Mon</t>
        </is>
      </c>
      <c r="C37" s="360" t="n">
        <v>36</v>
      </c>
      <c r="D37" s="360" t="inlineStr">
        <is>
          <t>U3</t>
        </is>
      </c>
      <c r="E37" s="201" t="inlineStr">
        <is>
          <t>3.2 MPC/MPS &amp; the spending multiplier</t>
        </is>
      </c>
      <c r="F37" s="311" t="inlineStr">
        <is>
          <t>Deck: Unit 3/AP_Macro_Multipliers_SRAS (1); Unit 3/Consumption and Saving
Handout: Unit 3/consumption and savings note sheet
Also: Unit 3/11_Propensities_and_Multipliers
Arcade: Calc Blitz, Multipliers
AP Classroom: 3.2 videos + Topic Questions</t>
        </is>
      </c>
      <c r="G37" s="360" t="inlineStr">
        <is>
          <t>New content</t>
        </is>
      </c>
      <c r="H37" s="175" t="inlineStr">
        <is>
          <t>YELLOW - sub-able with kit; re-sync rule applies after</t>
        </is>
      </c>
      <c r="I37" s="202" t="n"/>
    </row>
    <row r="38" ht="50" customHeight="1" s="142">
      <c r="A38" s="359" t="n">
        <v>46343</v>
      </c>
      <c r="B38" s="360" t="inlineStr">
        <is>
          <t>Tue</t>
        </is>
      </c>
      <c r="C38" s="360" t="n">
        <v>37</v>
      </c>
      <c r="D38" s="360" t="inlineStr">
        <is>
          <t>U3</t>
        </is>
      </c>
      <c r="E38" s="201" t="inlineStr">
        <is>
          <t>3.2 Tax &amp; balanced-budget multipliers + multiplier number practice</t>
        </is>
      </c>
      <c r="F38" s="311" t="inlineStr">
        <is>
          <t>Deck: Unit 3/AP_Macro_Multipliers_SRAS (1); Unit 3/Multipliers
Practice: Unit 3/spending, multiplier, change in ad (docx)
Arcade: Calc Blitz, Multipliers
AP Classroom: 3.2 Topic Questions</t>
        </is>
      </c>
      <c r="G38" s="360" t="inlineStr">
        <is>
          <t>New content</t>
        </is>
      </c>
      <c r="H38" s="175" t="inlineStr">
        <is>
          <t>YELLOW - sub-able with kit; re-sync rule applies after</t>
        </is>
      </c>
      <c r="I38" s="202" t="n"/>
    </row>
    <row r="39" ht="50" customHeight="1" s="142">
      <c r="A39" s="359" t="n">
        <v>46344</v>
      </c>
      <c r="B39" s="360" t="inlineStr">
        <is>
          <t>Wed</t>
        </is>
      </c>
      <c r="C39" s="360" t="n">
        <v>38</v>
      </c>
      <c r="D39" s="360" t="inlineStr">
        <is>
          <t>U3</t>
        </is>
      </c>
      <c r="E39" s="201" t="inlineStr">
        <is>
          <t>3.3 SRAS &amp; shifters (GRIPS)</t>
        </is>
      </c>
      <c r="F39" s="311" t="inlineStr">
        <is>
          <t>Deck: Unit 3/AP_Macro_Multipliers_SRAS (1), SRAS part; Unit 3/Copy of Aggregate Supply
Arcade: Shift Happens, level 2
AP Classroom: 3.3 videos + Topic Questions</t>
        </is>
      </c>
      <c r="G39" s="360" t="inlineStr">
        <is>
          <t>New content</t>
        </is>
      </c>
      <c r="H39" s="175" t="inlineStr">
        <is>
          <t>YELLOW - sub-able with kit; re-sync rule applies after</t>
        </is>
      </c>
      <c r="I39" s="202" t="n"/>
    </row>
    <row r="40" ht="38.5" customHeight="1" s="142">
      <c r="A40" s="359" t="n">
        <v>46345</v>
      </c>
      <c r="B40" s="360" t="inlineStr">
        <is>
          <t>Thu</t>
        </is>
      </c>
      <c r="C40" s="360" t="n">
        <v>39</v>
      </c>
      <c r="D40" s="360" t="inlineStr">
        <is>
          <t>U3</t>
        </is>
      </c>
      <c r="E40" s="201" t="inlineStr">
        <is>
          <t>3.4 LRAS + 3.5 AD-AS equilibrium &amp; output gaps</t>
        </is>
      </c>
      <c r="F40" s="311" t="inlineStr">
        <is>
          <t>Deck: Unit 3/LRAS_ADAS_Equilibrium
Also: Unit 3/12_AS_AD_Model; video Videos/as ad
AP Classroom: 3.4 and 3.5 videos + Topic Questions</t>
        </is>
      </c>
      <c r="G40" s="360" t="inlineStr">
        <is>
          <t>New content</t>
        </is>
      </c>
      <c r="H40" s="175" t="inlineStr">
        <is>
          <t>YELLOW - sub-able with kit; re-sync rule applies after</t>
        </is>
      </c>
      <c r="I40" s="202" t="n"/>
    </row>
    <row r="41" ht="50" customHeight="1" s="142">
      <c r="A41" s="359" t="n">
        <v>46349</v>
      </c>
      <c r="B41" s="360" t="inlineStr">
        <is>
          <t>Mon</t>
        </is>
      </c>
      <c r="C41" s="360" t="n">
        <v>40</v>
      </c>
      <c r="D41" s="360" t="inlineStr">
        <is>
          <t>U3</t>
        </is>
      </c>
      <c r="E41" s="201" t="inlineStr">
        <is>
          <t>3.6 Shocks: demand-pull vs cost-push, stagflation</t>
        </is>
      </c>
      <c r="F41" s="311" t="inlineStr">
        <is>
          <t>Deck: Unit 3/AD_AS_Changes_SelfAdj
Also: Unit 3/Cause &amp; Effect
Arcade: Shift Happens, level 3
AP Classroom: 3.6 videos + Topic Questions</t>
        </is>
      </c>
      <c r="G41" s="360" t="inlineStr">
        <is>
          <t>New content</t>
        </is>
      </c>
      <c r="H41" s="175" t="inlineStr">
        <is>
          <t>YELLOW - sub-able with kit; re-sync rule applies after</t>
        </is>
      </c>
      <c r="I41" s="202" t="n"/>
    </row>
    <row r="42" ht="29.5" customHeight="1" s="142">
      <c r="A42" s="359" t="n">
        <v>46350</v>
      </c>
      <c r="B42" s="360" t="inlineStr">
        <is>
          <t>Tue</t>
        </is>
      </c>
      <c r="C42" s="360" t="n">
        <v>41</v>
      </c>
      <c r="D42" s="360" t="inlineStr">
        <is>
          <t>U3</t>
        </is>
      </c>
      <c r="E42" s="203" t="inlineStr">
        <is>
          <t>Output-gap &amp; shock graph drill + cause-and-effect chain relay (3:30 dismissal day)</t>
        </is>
      </c>
      <c r="F42" s="312" t="inlineStr">
        <is>
          <t>Practice: Kunming/19 AS AD Practice; Unit 3/Cause &amp; Effect
Arcade: Shift Happens, level 3</t>
        </is>
      </c>
      <c r="G42" s="361" t="inlineStr">
        <is>
          <t>Drill</t>
        </is>
      </c>
      <c r="H42" s="183" t="inlineStr">
        <is>
          <t>GREEN - ideal sub day, kit runs itself</t>
        </is>
      </c>
      <c r="I42" s="202" t="inlineStr">
        <is>
          <t>P-T conferences 3:30 dismissal (at-risk)</t>
        </is>
      </c>
    </row>
    <row r="43" ht="38.5" customHeight="1" s="142">
      <c r="A43" s="359" t="n">
        <v>46351</v>
      </c>
      <c r="B43" s="360" t="inlineStr">
        <is>
          <t>Wed</t>
        </is>
      </c>
      <c r="C43" s="360" t="n">
        <v>42</v>
      </c>
      <c r="D43" s="360" t="inlineStr">
        <is>
          <t>U3</t>
        </is>
      </c>
      <c r="E43" s="201" t="inlineStr">
        <is>
          <t>3.7 Long-run self-adjustment: wages &amp; SRAS</t>
        </is>
      </c>
      <c r="F43" s="311" t="inlineStr">
        <is>
          <t>Deck: Unit 3/AD_AS_Changes_SelfAdj
Video: Videos/Self_Correcting_Economies
AP Classroom: 3.7 videos + Topic Questions</t>
        </is>
      </c>
      <c r="G43" s="360" t="inlineStr">
        <is>
          <t>New content</t>
        </is>
      </c>
      <c r="H43" s="175" t="inlineStr">
        <is>
          <t>YELLOW - sub-able with kit; re-sync rule applies after</t>
        </is>
      </c>
      <c r="I43" s="202" t="n"/>
    </row>
    <row r="44" ht="29.5" customHeight="1" s="142">
      <c r="A44" s="359" t="n">
        <v>46356</v>
      </c>
      <c r="B44" s="360" t="inlineStr">
        <is>
          <t>Mon</t>
        </is>
      </c>
      <c r="C44" s="360" t="n">
        <v>43</v>
      </c>
      <c r="D44" s="360" t="inlineStr">
        <is>
          <t>U3</t>
        </is>
      </c>
      <c r="E44" s="203" t="inlineStr">
        <is>
          <t>3.7 Adjustment-path graph drill (post-Thanksgiving re-entry)</t>
        </is>
      </c>
      <c r="F44" s="312" t="inlineStr">
        <is>
          <t>Practice: Unit 3/AS AD FRQ; Kunming/19 AS AD Practice
Arcade: Graph Doctor, AD-AS ward</t>
        </is>
      </c>
      <c r="G44" s="361" t="inlineStr">
        <is>
          <t>Drill</t>
        </is>
      </c>
      <c r="H44" s="183" t="inlineStr">
        <is>
          <t>GREEN - ideal sub day, kit runs itself</t>
        </is>
      </c>
      <c r="I44" s="202" t="n"/>
    </row>
    <row r="45" ht="61.5" customHeight="1" s="142">
      <c r="A45" s="359" t="n">
        <v>46357</v>
      </c>
      <c r="B45" s="360" t="inlineStr">
        <is>
          <t>Tue</t>
        </is>
      </c>
      <c r="C45" s="360" t="n">
        <v>44</v>
      </c>
      <c r="D45" s="360" t="inlineStr">
        <is>
          <t>U3</t>
        </is>
      </c>
      <c r="E45" s="201" t="inlineStr">
        <is>
          <t>3.8 Fiscal policy: expansionary/contractionary, gaps</t>
        </is>
      </c>
      <c r="F45" s="311" t="inlineStr">
        <is>
          <t>Deck: Unit 3/Fiscal_Policy_AutoStabilizers
Also: _Misc/14_Fiscal_Policy; Kunming/23 discretionary fiscal policy chart
Arcade: Sort Circuit, Expansionary or Contractionary deck
AP Classroom: 3.8 videos + Topic Questions</t>
        </is>
      </c>
      <c r="G45" s="360" t="inlineStr">
        <is>
          <t>New content</t>
        </is>
      </c>
      <c r="H45" s="175" t="inlineStr">
        <is>
          <t>YELLOW - sub-able with kit; re-sync rule applies after</t>
        </is>
      </c>
      <c r="I45" s="202" t="n"/>
    </row>
    <row r="46" ht="38.5" customHeight="1" s="142">
      <c r="A46" s="359" t="n">
        <v>46358</v>
      </c>
      <c r="B46" s="360" t="inlineStr">
        <is>
          <t>Wed</t>
        </is>
      </c>
      <c r="C46" s="360" t="n">
        <v>45</v>
      </c>
      <c r="D46" s="360" t="inlineStr">
        <is>
          <t>U3</t>
        </is>
      </c>
      <c r="E46" s="203" t="inlineStr">
        <is>
          <t>3.8 Fiscal + multiplier practice problems (short PT-conference day)</t>
        </is>
      </c>
      <c r="F46" s="312" t="inlineStr">
        <is>
          <t>Practice: Unit 3/spending, multiplier, change in ad (docx)
Arcade: Calc Blitz, Multipliers
AP Classroom: 3.8 Topic Questions</t>
        </is>
      </c>
      <c r="G46" s="361" t="inlineStr">
        <is>
          <t>Drill</t>
        </is>
      </c>
      <c r="H46" s="183" t="inlineStr">
        <is>
          <t>GREEN - ideal sub day, kit runs itself</t>
        </is>
      </c>
      <c r="I46" s="202" t="inlineStr">
        <is>
          <t>P-T conferences 3:30 dismissal (at-risk)</t>
        </is>
      </c>
    </row>
    <row r="47" ht="38.5" customHeight="1" s="142">
      <c r="A47" s="348" t="n">
        <v>46359</v>
      </c>
      <c r="B47" s="349" t="inlineStr">
        <is>
          <t>Thu</t>
        </is>
      </c>
      <c r="C47" s="349" t="n">
        <v>46</v>
      </c>
      <c r="D47" s="349" t="inlineStr">
        <is>
          <t>Micro</t>
        </is>
      </c>
      <c r="E47" s="179" t="inlineStr">
        <is>
          <t>Micro 6.2-6.3 Externalities &amp; public goods: pollution, vaccines, free riders</t>
        </is>
      </c>
      <c r="F47" s="302" t="inlineStr">
        <is>
          <t>Deck: Micro Bridges/M7 Externalities and Public Goods
Also: Micro/Unit 6/Micro Topic 6.2-Externalities, Micro Topic 6.3- Public and Private Goods</t>
        </is>
      </c>
      <c r="G47" s="349" t="inlineStr">
        <is>
          <t>New content</t>
        </is>
      </c>
      <c r="H47" s="175" t="inlineStr">
        <is>
          <t>YELLOW - sub-able with kit; re-sync rule applies after</t>
        </is>
      </c>
      <c r="I47" s="180" t="n"/>
    </row>
    <row r="48" ht="29.5" customHeight="1" s="142">
      <c r="A48" s="348" t="n">
        <v>46363</v>
      </c>
      <c r="B48" s="349" t="inlineStr">
        <is>
          <t>Mon</t>
        </is>
      </c>
      <c r="C48" s="349" t="n">
        <v>47</v>
      </c>
      <c r="D48" s="349" t="inlineStr">
        <is>
          <t>Micro</t>
        </is>
      </c>
      <c r="E48" s="179" t="inlineStr">
        <is>
          <t>Micro 6.5 Inequality: Lorenz curve, Gini, progressive vs regressive taxes, transfers</t>
        </is>
      </c>
      <c r="F48" s="302" t="inlineStr">
        <is>
          <t>Deck: Micro Bridges/M8 Inequality
Also: Micro/Unit 6/Micro Topic 6.5- Inequality</t>
        </is>
      </c>
      <c r="G48" s="349" t="inlineStr">
        <is>
          <t>New content</t>
        </is>
      </c>
      <c r="H48" s="175" t="inlineStr">
        <is>
          <t>YELLOW - sub-able with kit; re-sync rule applies after</t>
        </is>
      </c>
      <c r="I48" s="180" t="n"/>
    </row>
    <row r="49" ht="38.5" customHeight="1" s="142">
      <c r="A49" s="359" t="n">
        <v>46364</v>
      </c>
      <c r="B49" s="360" t="inlineStr">
        <is>
          <t>Tue</t>
        </is>
      </c>
      <c r="C49" s="360" t="n">
        <v>48</v>
      </c>
      <c r="D49" s="360" t="inlineStr">
        <is>
          <t>U3</t>
        </is>
      </c>
      <c r="E49" s="201" t="inlineStr">
        <is>
          <t>3.9 Automatic stabilizers vs discretionary policy (uses Dec 7 taxes + transfers)</t>
        </is>
      </c>
      <c r="F49" s="311" t="inlineStr">
        <is>
          <t>Deck: Unit 3/Fiscal_Policy_AutoStabilizers
Arcade: Sort Circuit, Expansionary or Contractionary deck
AP Classroom: 3.9 videos + Topic Questions</t>
        </is>
      </c>
      <c r="G49" s="360" t="inlineStr">
        <is>
          <t>New content</t>
        </is>
      </c>
      <c r="H49" s="175" t="inlineStr">
        <is>
          <t>YELLOW - sub-able with kit; re-sync rule applies after</t>
        </is>
      </c>
      <c r="I49" s="202" t="n"/>
    </row>
    <row r="50" ht="50" customHeight="1" s="142">
      <c r="A50" s="359" t="n">
        <v>46365</v>
      </c>
      <c r="B50" s="360" t="inlineStr">
        <is>
          <t>Wed</t>
        </is>
      </c>
      <c r="C50" s="360" t="n">
        <v>49</v>
      </c>
      <c r="D50" s="360" t="inlineStr">
        <is>
          <t>U3</t>
        </is>
      </c>
      <c r="E50" s="205" t="inlineStr">
        <is>
          <t>"Who should pay?" debate: fiscal policy, taxes &amp; inequality [Taxes &amp; the Rich]</t>
        </is>
      </c>
      <c r="F50" s="313" t="inlineStr">
        <is>
          <t>Deck: Micro/_Misc/Taxes &amp; the Rich (ppt)
Handout: Unit 3/fiscal policy debate (doc)
Prep: M8 exit ticket homework (1 fact + 1 fairness argument for each side)</t>
        </is>
      </c>
      <c r="G50" s="362" t="inlineStr">
        <is>
          <t>Game</t>
        </is>
      </c>
      <c r="H50" s="183" t="inlineStr">
        <is>
          <t>GREEN - ideal sub day, kit runs itself</t>
        </is>
      </c>
      <c r="I50" s="202" t="n"/>
    </row>
    <row r="51" ht="38.5" customHeight="1" s="142">
      <c r="A51" s="359" t="n">
        <v>46366</v>
      </c>
      <c r="B51" s="360" t="inlineStr">
        <is>
          <t>Thu</t>
        </is>
      </c>
      <c r="C51" s="360" t="n">
        <v>50</v>
      </c>
      <c r="D51" s="360" t="inlineStr">
        <is>
          <t>U3</t>
        </is>
      </c>
      <c r="E51" s="207" t="inlineStr">
        <is>
          <t>Unit 3 review game + graph gauntlet (full AD-AS sequence) • assign Progress Check 3</t>
        </is>
      </c>
      <c r="F51" s="314" t="inlineStr">
        <is>
          <t>Arcade: Shift Happens, levels 1 to 3; Graph Doctor, AD-AS ward
Practice: Unit 3/unit 3 mc (docx)
AP Classroom: assign the Unit 3 Progress Check</t>
        </is>
      </c>
      <c r="G51" s="363" t="inlineStr">
        <is>
          <t>Review</t>
        </is>
      </c>
      <c r="H51" s="183" t="inlineStr">
        <is>
          <t>GREEN - ideal sub day, kit runs itself</t>
        </is>
      </c>
      <c r="I51" s="202" t="inlineStr">
        <is>
          <t>Chanukah Chagiga (evening)</t>
        </is>
      </c>
    </row>
    <row r="52" ht="38.5" customHeight="1" s="142">
      <c r="A52" s="359" t="n">
        <v>46370</v>
      </c>
      <c r="B52" s="360" t="inlineStr">
        <is>
          <t>Mon</t>
        </is>
      </c>
      <c r="C52" s="360" t="n">
        <v>51</v>
      </c>
      <c r="D52" s="360" t="inlineStr">
        <is>
          <t>U3</t>
        </is>
      </c>
      <c r="E52" s="209" t="inlineStr">
        <is>
          <t>Unit 3 FRQ workshop: long-FRQ anatomy (AS-AD FRQ)</t>
        </is>
      </c>
      <c r="F52" s="315" t="inlineStr">
        <is>
          <t>FRQ: Unit 3/AS AD FRQ + unit 3 rubrics
AP Classroom: Archive of Exam FRQs (an AD-AS long FRQ)
Arcade: Graph Doctor, AD-AS ward</t>
        </is>
      </c>
      <c r="G52" s="364" t="inlineStr">
        <is>
          <t>FRQ workshop</t>
        </is>
      </c>
      <c r="H52" s="175" t="inlineStr">
        <is>
          <t>YELLOW - sub-able with kit; re-sync rule applies after</t>
        </is>
      </c>
      <c r="I52" s="202" t="n"/>
    </row>
    <row r="53" ht="38.5" customHeight="1" s="142">
      <c r="A53" s="359" t="n">
        <v>46371</v>
      </c>
      <c r="B53" s="365" t="inlineStr">
        <is>
          <t>Tue</t>
        </is>
      </c>
      <c r="C53" s="365" t="n">
        <v>52</v>
      </c>
      <c r="D53" s="365" t="inlineStr">
        <is>
          <t>U3</t>
        </is>
      </c>
      <c r="E53" s="212" t="inlineStr">
        <is>
          <t>UNIT 3 TEST - Day 1: 25 MCQ (+ 3 micro: externalities, public goods, inequality)</t>
        </is>
      </c>
      <c r="F53" s="316" t="inlineStr">
        <is>
          <t>Test: Unit 3 test (not in your folder yet; Unit 3/unit 3 exam is older)
Micro MCQs: hidden test-bank slides at the end of M7 and M8
Question sources: AP Classroom Question Bank; Unit 3/unit 3 mc</t>
        </is>
      </c>
      <c r="G53" s="366" t="inlineStr">
        <is>
          <t>TEST</t>
        </is>
      </c>
      <c r="H53" s="187" t="inlineStr">
        <is>
          <t>RED - protect this day: reschedule, do not sub it</t>
        </is>
      </c>
      <c r="I53" s="202" t="n"/>
    </row>
    <row r="54" ht="27" customHeight="1" s="142">
      <c r="A54" s="359" t="n">
        <v>46372</v>
      </c>
      <c r="B54" s="365" t="inlineStr">
        <is>
          <t>Wed</t>
        </is>
      </c>
      <c r="C54" s="365" t="n">
        <v>53</v>
      </c>
      <c r="D54" s="365" t="inlineStr">
        <is>
          <t>U3</t>
        </is>
      </c>
      <c r="E54" s="212" t="inlineStr">
        <is>
          <t>UNIT 3 TEST - Day 2: long FRQ</t>
        </is>
      </c>
      <c r="F54" s="316" t="inlineStr">
        <is>
          <t>FRQ: AP Classroom Archive of Exam FRQs (an AD-AS long FRQ) + its scoring guide</t>
        </is>
      </c>
      <c r="G54" s="366" t="inlineStr">
        <is>
          <t>TEST</t>
        </is>
      </c>
      <c r="H54" s="187" t="inlineStr">
        <is>
          <t>RED - protect this day: reschedule, do not sub it</t>
        </is>
      </c>
      <c r="I54" s="202" t="n"/>
    </row>
    <row r="55" ht="73" customHeight="1" s="142">
      <c r="A55" s="367" t="n">
        <v>46373</v>
      </c>
      <c r="B55" s="368" t="inlineStr">
        <is>
          <t>Thu</t>
        </is>
      </c>
      <c r="C55" s="368" t="n">
        <v>54</v>
      </c>
      <c r="D55" s="368" t="inlineStr">
        <is>
          <t>U4</t>
        </is>
      </c>
      <c r="E55" s="216" t="inlineStr">
        <is>
          <t>4.1 Financial assets: stocks, bonds, liquidity, risk/return [$1,000 challenge]</t>
        </is>
      </c>
      <c r="F55" s="317" t="inlineStr">
        <is>
          <t>Deck: Unit 4/Financial_Assets_4_1
Also: Unit 4/16_Financial_Assets; New Financial Assets &amp; Money Measures Notes
$1,000 challenge: no handout in your folder
Arcade: The Investor, Soft Landing
AP Classroom: 4.1 videos + Topic Questions</t>
        </is>
      </c>
      <c r="G55" s="368" t="inlineStr">
        <is>
          <t>New content</t>
        </is>
      </c>
      <c r="H55" s="154" t="inlineStr">
        <is>
          <t>YELLOW - sub-able with kit; re-sync rule applies after</t>
        </is>
      </c>
      <c r="I55" s="217" t="n"/>
    </row>
    <row r="56" ht="50" customHeight="1" s="142">
      <c r="A56" s="367" t="n">
        <v>46377</v>
      </c>
      <c r="B56" s="368" t="inlineStr">
        <is>
          <t>Mon</t>
        </is>
      </c>
      <c r="C56" s="368" t="n">
        <v>55</v>
      </c>
      <c r="D56" s="368" t="inlineStr">
        <is>
          <t>U4</t>
        </is>
      </c>
      <c r="E56" s="216" t="inlineStr">
        <is>
          <t>4.1 Bond price &lt;-&gt; interest rate inverse + mortgage/real-estate tie-in</t>
        </is>
      </c>
      <c r="F56" s="317" t="inlineStr">
        <is>
          <t>Deck: Unit 4/Financial_Assets_4_1
Also: Unit 4/17_Time_Value_of_Money
Arcade: The Investor, Inflation Scare
AP Classroom: 4.1 Topic Questions</t>
        </is>
      </c>
      <c r="G56" s="368" t="inlineStr">
        <is>
          <t>New content</t>
        </is>
      </c>
      <c r="H56" s="154" t="inlineStr">
        <is>
          <t>YELLOW - sub-able with kit; re-sync rule applies after</t>
        </is>
      </c>
      <c r="I56" s="217" t="n"/>
    </row>
    <row r="57" ht="50" customHeight="1" s="142">
      <c r="A57" s="367" t="n">
        <v>46378</v>
      </c>
      <c r="B57" s="368" t="inlineStr">
        <is>
          <t>Tue</t>
        </is>
      </c>
      <c r="C57" s="368" t="n">
        <v>56</v>
      </c>
      <c r="D57" s="368" t="inlineStr">
        <is>
          <t>U4</t>
        </is>
      </c>
      <c r="E57" s="216" t="inlineStr">
        <is>
          <t>4.2 Nominal vs real interest rates: Fisher equation</t>
        </is>
      </c>
      <c r="F57" s="317" t="inlineStr">
        <is>
          <t>Deck: Unit 4/Nominal_vs_Real_4_2
Also: Unit 2/07_Fisher_Formula
Arcade: Calc Blitz, Money &amp; Banks
AP Classroom: 4.2 videos + Topic Questions</t>
        </is>
      </c>
      <c r="G57" s="368" t="inlineStr">
        <is>
          <t>New content</t>
        </is>
      </c>
      <c r="H57" s="154" t="inlineStr">
        <is>
          <t>YELLOW - sub-able with kit; re-sync rule applies after</t>
        </is>
      </c>
      <c r="I57" s="217" t="n"/>
    </row>
    <row r="58" ht="38.5" customHeight="1" s="142">
      <c r="A58" s="367" t="n">
        <v>46379</v>
      </c>
      <c r="B58" s="368" t="inlineStr">
        <is>
          <t>Wed</t>
        </is>
      </c>
      <c r="C58" s="368" t="n">
        <v>57</v>
      </c>
      <c r="D58" s="368" t="inlineStr">
        <is>
          <t>U4</t>
        </is>
      </c>
      <c r="E58" s="216" t="inlineStr">
        <is>
          <t>4.3 Money: functions, M0/M1/M2</t>
        </is>
      </c>
      <c r="F58" s="317" t="inlineStr">
        <is>
          <t>Deck: Unit 4/Money_Definition_4_3
Also: Unit 4/money (pps); _Misc/15_Money
AP Classroom: 4.3 videos + Topic Questions</t>
        </is>
      </c>
      <c r="G58" s="368" t="inlineStr">
        <is>
          <t>New content</t>
        </is>
      </c>
      <c r="H58" s="154" t="inlineStr">
        <is>
          <t>YELLOW - sub-able with kit; re-sync rule applies after</t>
        </is>
      </c>
      <c r="I58" s="217" t="n"/>
    </row>
    <row r="59" ht="38.5" customHeight="1" s="142">
      <c r="A59" s="367" t="n">
        <v>46380</v>
      </c>
      <c r="B59" s="368" t="inlineStr">
        <is>
          <t>Thu</t>
        </is>
      </c>
      <c r="C59" s="368" t="n">
        <v>58</v>
      </c>
      <c r="D59" s="368" t="inlineStr">
        <is>
          <t>U4</t>
        </is>
      </c>
      <c r="E59" s="218" t="inlineStr">
        <is>
          <t>"Money or not?" sort + mini-quiz 4.1-4.3</t>
        </is>
      </c>
      <c r="F59" s="318" t="inlineStr">
        <is>
          <t>Sort: Arcade, Sort Circuit, M1 or Not deck
Mini-quiz: not in your folder yet (AP Classroom 4.1 to 4.3 Topic Questions would work)</t>
        </is>
      </c>
      <c r="G59" s="369" t="inlineStr">
        <is>
          <t>Check for understanding</t>
        </is>
      </c>
      <c r="H59" s="161" t="inlineStr">
        <is>
          <t>GREEN - ideal sub day, kit runs itself</t>
        </is>
      </c>
      <c r="I59" s="217" t="n"/>
    </row>
    <row r="60" ht="50" customHeight="1" s="142">
      <c r="A60" s="367" t="n">
        <v>46384</v>
      </c>
      <c r="B60" s="368" t="inlineStr">
        <is>
          <t>Mon</t>
        </is>
      </c>
      <c r="C60" s="368" t="n">
        <v>59</v>
      </c>
      <c r="D60" s="368" t="inlineStr">
        <is>
          <t>U4</t>
        </is>
      </c>
      <c r="E60" s="216" t="inlineStr">
        <is>
          <t>4.4 Banking: T-accounts, fractional reserves, money multiplier</t>
        </is>
      </c>
      <c r="F60" s="317" t="inlineStr">
        <is>
          <t>Deck: Unit 4/Banking_Money_Supply_4_4
Also: Unit 4/multiple deposit expansion (pps), Topic 4.4 (pdf); video Videos/moneycreation
AP Classroom: 4.4 videos + Topic Questions</t>
        </is>
      </c>
      <c r="G60" s="368" t="inlineStr">
        <is>
          <t>New content</t>
        </is>
      </c>
      <c r="H60" s="154" t="inlineStr">
        <is>
          <t>YELLOW - sub-able with kit; re-sync rule applies after</t>
        </is>
      </c>
      <c r="I60" s="217" t="n"/>
    </row>
    <row r="61" ht="38.5" customHeight="1" s="142">
      <c r="A61" s="367" t="n">
        <v>46385</v>
      </c>
      <c r="B61" s="368" t="inlineStr">
        <is>
          <t>Tue</t>
        </is>
      </c>
      <c r="C61" s="368" t="n">
        <v>60</v>
      </c>
      <c r="D61" s="368" t="inlineStr">
        <is>
          <t>U4</t>
        </is>
      </c>
      <c r="E61" s="220" t="inlineStr">
        <is>
          <t>4.4 Bank balance-sheet calc drill (AP challenge area)</t>
        </is>
      </c>
      <c r="F61" s="319" t="inlineStr">
        <is>
          <t>Practice: Unit 4/19_Bank_Balance_Sheets
Arcade: Calc Blitz, Money &amp; Banks
AP Classroom: 4.4 Topic Questions</t>
        </is>
      </c>
      <c r="G61" s="370" t="inlineStr">
        <is>
          <t>Drill</t>
        </is>
      </c>
      <c r="H61" s="161" t="inlineStr">
        <is>
          <t>GREEN - ideal sub day, kit runs itself</t>
        </is>
      </c>
      <c r="I61" s="217" t="n"/>
    </row>
    <row r="62" ht="38.5" customHeight="1" s="142">
      <c r="A62" s="367" t="n">
        <v>46386</v>
      </c>
      <c r="B62" s="368" t="inlineStr">
        <is>
          <t>Wed</t>
        </is>
      </c>
      <c r="C62" s="368" t="n">
        <v>61</v>
      </c>
      <c r="D62" s="368" t="inlineStr">
        <is>
          <t>U4</t>
        </is>
      </c>
      <c r="E62" s="216" t="inlineStr">
        <is>
          <t>4.5 The money market: MD/MS, nominal rate</t>
        </is>
      </c>
      <c r="F62" s="317" t="inlineStr">
        <is>
          <t>Deck: Unit 4/Money_Market_4_5
Also: Unit 4/The Money Market (pps), 20_Money_Market
AP Classroom: 4.5 videos + Topic Questions</t>
        </is>
      </c>
      <c r="G62" s="368" t="inlineStr">
        <is>
          <t>New content</t>
        </is>
      </c>
      <c r="H62" s="154" t="inlineStr">
        <is>
          <t>YELLOW - sub-able with kit; re-sync rule applies after</t>
        </is>
      </c>
      <c r="I62" s="217" t="n"/>
    </row>
    <row r="63" ht="27" customHeight="1" s="142">
      <c r="A63" s="367" t="n">
        <v>46387</v>
      </c>
      <c r="B63" s="368" t="inlineStr">
        <is>
          <t>Thu</t>
        </is>
      </c>
      <c r="C63" s="368" t="n">
        <v>62</v>
      </c>
      <c r="D63" s="368" t="inlineStr">
        <is>
          <t>U4</t>
        </is>
      </c>
      <c r="E63" s="220" t="inlineStr">
        <is>
          <t>4.5 Money-market shift scenarios drill</t>
        </is>
      </c>
      <c r="F63" s="319" t="inlineStr">
        <is>
          <t>Practice: Kunming/11 Money Market practice; Unit 4/20_Money_Market
Arcade: Shift Happens, level 4</t>
        </is>
      </c>
      <c r="G63" s="370" t="inlineStr">
        <is>
          <t>Drill</t>
        </is>
      </c>
      <c r="H63" s="161" t="inlineStr">
        <is>
          <t>GREEN - ideal sub day, kit runs itself</t>
        </is>
      </c>
      <c r="I63" s="217" t="n"/>
    </row>
    <row r="64" ht="73" customHeight="1" s="142">
      <c r="A64" s="367" t="n">
        <v>46391</v>
      </c>
      <c r="B64" s="368" t="inlineStr">
        <is>
          <t>Mon</t>
        </is>
      </c>
      <c r="C64" s="368" t="n">
        <v>63</v>
      </c>
      <c r="D64" s="368" t="inlineStr">
        <is>
          <t>U4</t>
        </is>
      </c>
      <c r="E64" s="216" t="inlineStr">
        <is>
          <t>4.6 Monetary policy: AMPLE RESERVES, IORB &amp; administered rates (new CED)</t>
        </is>
      </c>
      <c r="F64" s="317" t="inlineStr">
        <is>
          <t>Deck: Unit 4/Monetary_Policy_4_6 (still needs the ample reserves update: IORB + reserve market graph)
Also: the reserve market slide in Unit 5/5.1 deck; Unit 4/18_Monetary_Policy_Tools
Arcade: Fed Chair, 2021 era
AP Classroom: 4.6 videos + Topic Questions</t>
        </is>
      </c>
      <c r="G64" s="368" t="inlineStr">
        <is>
          <t>New content</t>
        </is>
      </c>
      <c r="H64" s="154" t="inlineStr">
        <is>
          <t>YELLOW - sub-able with kit; re-sync rule applies after</t>
        </is>
      </c>
      <c r="I64" s="217" t="n"/>
    </row>
    <row r="65" ht="61.5" customHeight="1" s="142">
      <c r="A65" s="367" t="n">
        <v>46392</v>
      </c>
      <c r="B65" s="368" t="inlineStr">
        <is>
          <t>Tue</t>
        </is>
      </c>
      <c r="C65" s="368" t="n">
        <v>64</v>
      </c>
      <c r="D65" s="368" t="inlineStr">
        <is>
          <t>U4</t>
        </is>
      </c>
      <c r="E65" s="216" t="inlineStr">
        <is>
          <t>4.6 Reserve market graph + limited-vs-ample policy scenarios</t>
        </is>
      </c>
      <c r="F65" s="317" t="inlineStr">
        <is>
          <t>Practice: reserve market drill (not in your folder yet)
Old limited-reserves contrast: Unit 4/How Monetary Policy Affects Bank Reserves
Arcade: Sort Circuit, Expansionary or Contractionary deck
AP Classroom: 4.6 Topic Questions</t>
        </is>
      </c>
      <c r="G65" s="368" t="inlineStr">
        <is>
          <t>New content</t>
        </is>
      </c>
      <c r="H65" s="154" t="inlineStr">
        <is>
          <t>YELLOW - sub-able with kit; re-sync rule applies after</t>
        </is>
      </c>
      <c r="I65" s="217" t="n"/>
    </row>
    <row r="66" ht="50" customHeight="1" s="142">
      <c r="A66" s="367" t="n">
        <v>46393</v>
      </c>
      <c r="B66" s="368" t="inlineStr">
        <is>
          <t>Wed</t>
        </is>
      </c>
      <c r="C66" s="368" t="n">
        <v>65</v>
      </c>
      <c r="D66" s="368" t="inlineStr">
        <is>
          <t>U4</t>
        </is>
      </c>
      <c r="E66" s="216" t="inlineStr">
        <is>
          <t>4.7 Loanable funds market: savers, borrowers, real rate</t>
        </is>
      </c>
      <c r="F66" s="317" t="inlineStr">
        <is>
          <t>Deck: Unit 4/Loanable_Funds_4_7
Also: Unit 4/Loanable Funds Market (pps + doc), 13_Loanable_Funds; Kunming/10 Loanable Funds Market
AP Classroom: 4.7 videos + Topic Questions</t>
        </is>
      </c>
      <c r="G66" s="368" t="inlineStr">
        <is>
          <t>New content</t>
        </is>
      </c>
      <c r="H66" s="154" t="inlineStr">
        <is>
          <t>YELLOW - sub-able with kit; re-sync rule applies after</t>
        </is>
      </c>
      <c r="I66" s="217" t="n"/>
    </row>
    <row r="67" ht="38.5" customHeight="1" s="142">
      <c r="A67" s="367" t="n">
        <v>46394</v>
      </c>
      <c r="B67" s="368" t="inlineStr">
        <is>
          <t>Thu</t>
        </is>
      </c>
      <c r="C67" s="368" t="n">
        <v>66</v>
      </c>
      <c r="D67" s="368" t="inlineStr">
        <is>
          <t>U4</t>
        </is>
      </c>
      <c r="E67" s="220" t="inlineStr">
        <is>
          <t>4.7 Money market vs loanable funds: the Two-Market Trick</t>
        </is>
      </c>
      <c r="F67" s="319" t="inlineStr">
        <is>
          <t>Deck: Unit 4/The Money Market and Loanable Funds Market Connection
FRQ: Unit 4/Loanable Funds &amp; Forex FRQ + loanable funds rubric
Arcade: Shift Happens, level 5; Graph Doctor, Money ward</t>
        </is>
      </c>
      <c r="G67" s="370" t="inlineStr">
        <is>
          <t>Drill</t>
        </is>
      </c>
      <c r="H67" s="161" t="inlineStr">
        <is>
          <t>GREEN - ideal sub day, kit runs itself</t>
        </is>
      </c>
      <c r="I67" s="217" t="n"/>
    </row>
    <row r="68" ht="50" customHeight="1" s="142">
      <c r="A68" s="367" t="n">
        <v>46398</v>
      </c>
      <c r="B68" s="368" t="inlineStr">
        <is>
          <t>Mon</t>
        </is>
      </c>
      <c r="C68" s="368" t="n">
        <v>67</v>
      </c>
      <c r="D68" s="368" t="inlineStr">
        <is>
          <t>U4</t>
        </is>
      </c>
      <c r="E68" s="222" t="inlineStr">
        <is>
          <t>Unit 4 review gauntlet • assign Progress Check 4</t>
        </is>
      </c>
      <c r="F68" s="320" t="inlineStr">
        <is>
          <t>Also: Unit 4/Unit4_Study_Guide (html)
FRQs: Unit 4/2002, 2004 and 2005 question 1
Arcade: Graph Doctor, Money ward; Calc Blitz, Money &amp; Banks
AP Classroom: assign the Unit 4 Progress Check</t>
        </is>
      </c>
      <c r="G68" s="371" t="inlineStr">
        <is>
          <t>Review</t>
        </is>
      </c>
      <c r="H68" s="161" t="inlineStr">
        <is>
          <t>GREEN - ideal sub day, kit runs itself</t>
        </is>
      </c>
      <c r="I68" s="217" t="n"/>
    </row>
    <row r="69" ht="29.5" customHeight="1" s="142">
      <c r="A69" s="367" t="n">
        <v>46399</v>
      </c>
      <c r="B69" s="368" t="inlineStr">
        <is>
          <t>Tue</t>
        </is>
      </c>
      <c r="C69" s="368" t="n">
        <v>68</v>
      </c>
      <c r="D69" s="368" t="inlineStr">
        <is>
          <t>U4</t>
        </is>
      </c>
      <c r="E69" s="218" t="inlineStr">
        <is>
          <t>Unit 4 quick quiz + midterm briefing (midterm = Units 1-4 mock AP)</t>
        </is>
      </c>
      <c r="F69" s="318" t="inlineStr">
        <is>
          <t>Quiz: Unit 4 quiz (not in your folder yet)
Question sources: AP Classroom Question Bank</t>
        </is>
      </c>
      <c r="G69" s="369" t="inlineStr">
        <is>
          <t>Check for understanding</t>
        </is>
      </c>
      <c r="H69" s="161" t="inlineStr">
        <is>
          <t>GREEN - ideal sub day, kit runs itself</t>
        </is>
      </c>
      <c r="I69" s="217" t="n"/>
    </row>
    <row r="70" ht="29.5" customHeight="1" s="142">
      <c r="A70" s="372" t="n">
        <v>46401</v>
      </c>
      <c r="B70" s="373" t="inlineStr">
        <is>
          <t>Thu</t>
        </is>
      </c>
      <c r="C70" s="373" t="n"/>
      <c r="D70" s="373" t="inlineStr">
        <is>
          <t>Midterm</t>
        </is>
      </c>
      <c r="E70" s="226" t="inlineStr">
        <is>
          <t>MIDTERM EXAM WINDOW (Jan 14-19): cumulative Units 1-4 mock - 45 MCQ + 1 long + 1 short FRQ</t>
        </is>
      </c>
      <c r="F70" s="321" t="inlineStr">
        <is>
          <t>Midterm: not in your folder yet
Question sources: AP Classroom Question Bank (Units 1 to 4)</t>
        </is>
      </c>
      <c r="G70" s="374" t="inlineStr">
        <is>
          <t>MOCK</t>
        </is>
      </c>
      <c r="H70" s="228" t="inlineStr">
        <is>
          <t>School exam window - proctoring per school policy</t>
        </is>
      </c>
      <c r="I70" s="229" t="n"/>
    </row>
    <row r="71" ht="29.5" customHeight="1" s="142">
      <c r="A71" s="375" t="n">
        <v>46419</v>
      </c>
      <c r="B71" s="376" t="inlineStr">
        <is>
          <t>Mon</t>
        </is>
      </c>
      <c r="C71" s="376" t="n">
        <v>69</v>
      </c>
      <c r="D71" s="376" t="inlineStr">
        <is>
          <t>U5</t>
        </is>
      </c>
      <c r="E71" s="232" t="inlineStr">
        <is>
          <t>Re-entry: midterm error analysis + Units 1-4 retrieval relay</t>
        </is>
      </c>
      <c r="F71" s="322" t="inlineStr">
        <is>
          <t>Graded midterms (error analysis)
Retrieval: _Misc/01_Macroeconomics_Study_Guide</t>
        </is>
      </c>
      <c r="G71" s="377" t="inlineStr">
        <is>
          <t>Review</t>
        </is>
      </c>
      <c r="H71" s="154" t="inlineStr">
        <is>
          <t>YELLOW - sub-able with kit; re-sync rule applies after</t>
        </is>
      </c>
      <c r="I71" s="234" t="n"/>
    </row>
    <row r="72" ht="61.5" customHeight="1" s="142">
      <c r="A72" s="375" t="n">
        <v>46420</v>
      </c>
      <c r="B72" s="376" t="inlineStr">
        <is>
          <t>Tue</t>
        </is>
      </c>
      <c r="C72" s="376" t="n">
        <v>70</v>
      </c>
      <c r="D72" s="376" t="inlineStr">
        <is>
          <t>U5</t>
        </is>
      </c>
      <c r="E72" s="235" t="inlineStr">
        <is>
          <t>5.1 Fiscal &amp; monetary policy actions in the short run</t>
        </is>
      </c>
      <c r="F72" s="323" t="inlineStr">
        <is>
          <t>Deck: Unit 5/5.1 Fiscal and Monetary Policy in the Short Run
Also: Unit 5/21_Policy_Interactions, Fiscal and Monetary Policy Chart Keys
Arcade: Fed Chair
AP Classroom: 5.1 videos + Topic Questions</t>
        </is>
      </c>
      <c r="G72" s="376" t="inlineStr">
        <is>
          <t>New content</t>
        </is>
      </c>
      <c r="H72" s="154" t="inlineStr">
        <is>
          <t>YELLOW - sub-able with kit; re-sync rule applies after</t>
        </is>
      </c>
      <c r="I72" s="234" t="n"/>
    </row>
    <row r="73" ht="50" customHeight="1" s="142">
      <c r="A73" s="375" t="n">
        <v>46421</v>
      </c>
      <c r="B73" s="376" t="inlineStr">
        <is>
          <t>Wed</t>
        </is>
      </c>
      <c r="C73" s="376" t="n">
        <v>71</v>
      </c>
      <c r="D73" s="376" t="inlineStr">
        <is>
          <t>U5</t>
        </is>
      </c>
      <c r="E73" s="236" t="inlineStr">
        <is>
          <t>5.1 Policy-response scenario drill (gap -&gt; tool -&gt; graph -&gt; result)</t>
        </is>
      </c>
      <c r="F73" s="324" t="inlineStr">
        <is>
          <t>Practice: 5.1 deck activity + FRQ; Unit 5/Big nasty fiscal frq, policy mix and budget mc
Arcade: Crisis Country, The Long Slump
AP Classroom: 5.1 Topic Questions</t>
        </is>
      </c>
      <c r="G73" s="378" t="inlineStr">
        <is>
          <t>Drill</t>
        </is>
      </c>
      <c r="H73" s="161" t="inlineStr">
        <is>
          <t>GREEN - ideal sub day, kit runs itself</t>
        </is>
      </c>
      <c r="I73" s="234" t="n"/>
    </row>
    <row r="74" ht="38.5" customHeight="1" s="142">
      <c r="A74" s="375" t="n">
        <v>46422</v>
      </c>
      <c r="B74" s="376" t="inlineStr">
        <is>
          <t>Thu</t>
        </is>
      </c>
      <c r="C74" s="376" t="n">
        <v>72</v>
      </c>
      <c r="D74" s="376" t="inlineStr">
        <is>
          <t>U5</t>
        </is>
      </c>
      <c r="E74" s="235" t="inlineStr">
        <is>
          <t>5.2 Phillips curve: SRPC &amp; LRPC</t>
        </is>
      </c>
      <c r="F74" s="323" t="inlineStr">
        <is>
          <t>Deck: Unit 5/5.2 The Phillips Curve
Also: Unit 5/22_Phillips_Curve
AP Classroom: 5.2 videos + Topic Questions</t>
        </is>
      </c>
      <c r="G74" s="376" t="inlineStr">
        <is>
          <t>New content</t>
        </is>
      </c>
      <c r="H74" s="154" t="inlineStr">
        <is>
          <t>YELLOW - sub-able with kit; re-sync rule applies after</t>
        </is>
      </c>
      <c r="I74" s="234" t="n"/>
    </row>
    <row r="75" ht="27" customHeight="1" s="142">
      <c r="A75" s="375" t="n">
        <v>46426</v>
      </c>
      <c r="B75" s="376" t="inlineStr">
        <is>
          <t>Mon</t>
        </is>
      </c>
      <c r="C75" s="376" t="n">
        <v>73</v>
      </c>
      <c r="D75" s="376" t="inlineStr">
        <is>
          <t>U5</t>
        </is>
      </c>
      <c r="E75" s="236" t="inlineStr">
        <is>
          <t>5.2 Phillips &lt;-&gt; AD-AS mapping drill</t>
        </is>
      </c>
      <c r="F75" s="324" t="inlineStr">
        <is>
          <t>Practice: Unit 3/phillips curve frqs + frq rubrics, phillips curve mc
Arcade: Shift Happens, level 7</t>
        </is>
      </c>
      <c r="G75" s="378" t="inlineStr">
        <is>
          <t>Drill</t>
        </is>
      </c>
      <c r="H75" s="161" t="inlineStr">
        <is>
          <t>GREEN - ideal sub day, kit runs itself</t>
        </is>
      </c>
      <c r="I75" s="234" t="n"/>
    </row>
    <row r="76" ht="27" customHeight="1" s="142">
      <c r="A76" s="375" t="n">
        <v>46427</v>
      </c>
      <c r="B76" s="376" t="inlineStr">
        <is>
          <t>Tue</t>
        </is>
      </c>
      <c r="C76" s="376" t="n">
        <v>74</v>
      </c>
      <c r="D76" s="376" t="inlineStr">
        <is>
          <t>U5</t>
        </is>
      </c>
      <c r="E76" s="235" t="inlineStr">
        <is>
          <t>5.3 Money growth &amp; inflation: quantity theory MV=PQ</t>
        </is>
      </c>
      <c r="F76" s="323" t="inlineStr">
        <is>
          <t>Deck: Unit 5/5.3 Money Growth and Inflation
AP Classroom: 5.3 videos + Topic Questions</t>
        </is>
      </c>
      <c r="G76" s="376" t="inlineStr">
        <is>
          <t>New content</t>
        </is>
      </c>
      <c r="H76" s="154" t="inlineStr">
        <is>
          <t>YELLOW - sub-able with kit; re-sync rule applies after</t>
        </is>
      </c>
      <c r="I76" s="234" t="n"/>
    </row>
    <row r="77" ht="27" customHeight="1" s="142">
      <c r="A77" s="375" t="n">
        <v>46428</v>
      </c>
      <c r="B77" s="376" t="inlineStr">
        <is>
          <t>Wed</t>
        </is>
      </c>
      <c r="C77" s="376" t="n">
        <v>75</v>
      </c>
      <c r="D77" s="376" t="inlineStr">
        <is>
          <t>U5</t>
        </is>
      </c>
      <c r="E77" s="238" t="inlineStr">
        <is>
          <t>5.3 Monetary neutrality + MV=PQ inflation game</t>
        </is>
      </c>
      <c r="F77" s="325" t="inlineStr">
        <is>
          <t>Game: Unit 5/mv=pq inflation game
Arcade: Crisis Country, The Printing Press</t>
        </is>
      </c>
      <c r="G77" s="379" t="inlineStr">
        <is>
          <t>Game</t>
        </is>
      </c>
      <c r="H77" s="161" t="inlineStr">
        <is>
          <t>GREEN - ideal sub day, kit runs itself</t>
        </is>
      </c>
      <c r="I77" s="234" t="n"/>
    </row>
    <row r="78" ht="38.5" customHeight="1" s="142">
      <c r="A78" s="375" t="n">
        <v>46429</v>
      </c>
      <c r="B78" s="376" t="inlineStr">
        <is>
          <t>Thu</t>
        </is>
      </c>
      <c r="C78" s="376" t="n">
        <v>76</v>
      </c>
      <c r="D78" s="376" t="inlineStr">
        <is>
          <t>U5</t>
        </is>
      </c>
      <c r="E78" s="240" t="inlineStr">
        <is>
          <t>Quiz 5.1-5.3 + FRQ mini</t>
        </is>
      </c>
      <c r="F78" s="326" t="inlineStr">
        <is>
          <t>Quiz: not in your folder yet (the check questions in the 5.1 to 5.3 decks are a start)
AP Classroom: 5.1 to 5.3 Topic Questions</t>
        </is>
      </c>
      <c r="G78" s="380" t="inlineStr">
        <is>
          <t>Check for understanding</t>
        </is>
      </c>
      <c r="H78" s="161" t="inlineStr">
        <is>
          <t>GREEN - ideal sub day, kit runs itself</t>
        </is>
      </c>
      <c r="I78" s="234" t="n"/>
    </row>
    <row r="79" ht="27" customHeight="1" s="142">
      <c r="A79" s="375" t="n">
        <v>46434</v>
      </c>
      <c r="B79" s="376" t="inlineStr">
        <is>
          <t>Tue</t>
        </is>
      </c>
      <c r="C79" s="376" t="n">
        <v>77</v>
      </c>
      <c r="D79" s="376" t="inlineStr">
        <is>
          <t>U5</t>
        </is>
      </c>
      <c r="E79" s="235" t="inlineStr">
        <is>
          <t>5.4 Deficits vs debt: financing, cyclical vs structural</t>
        </is>
      </c>
      <c r="F79" s="323" t="inlineStr">
        <is>
          <t>Deck: Unit 5/5.4 Government Deficits and the National Debt
AP Classroom: 5.4 videos + Topic Questions</t>
        </is>
      </c>
      <c r="G79" s="376" t="inlineStr">
        <is>
          <t>New content</t>
        </is>
      </c>
      <c r="H79" s="154" t="inlineStr">
        <is>
          <t>YELLOW - sub-able with kit; re-sync rule applies after</t>
        </is>
      </c>
      <c r="I79" s="234" t="n"/>
    </row>
    <row r="80" ht="27" customHeight="1" s="142">
      <c r="A80" s="375" t="n">
        <v>46435</v>
      </c>
      <c r="B80" s="376" t="inlineStr">
        <is>
          <t>Wed</t>
        </is>
      </c>
      <c r="C80" s="376" t="n">
        <v>78</v>
      </c>
      <c r="D80" s="376" t="inlineStr">
        <is>
          <t>U5</t>
        </is>
      </c>
      <c r="E80" s="235" t="inlineStr">
        <is>
          <t>5.5 Crowding out: mechanism on loanable funds</t>
        </is>
      </c>
      <c r="F80" s="323" t="inlineStr">
        <is>
          <t>Deck: Unit 5/5.5 Crowding Out
AP Classroom: 5.5 videos + Topic Questions</t>
        </is>
      </c>
      <c r="G80" s="376" t="inlineStr">
        <is>
          <t>New content</t>
        </is>
      </c>
      <c r="H80" s="154" t="inlineStr">
        <is>
          <t>YELLOW - sub-able with kit; re-sync rule applies after</t>
        </is>
      </c>
      <c r="I80" s="234" t="n"/>
    </row>
    <row r="81" ht="27" customHeight="1" s="142">
      <c r="A81" s="375" t="n">
        <v>46436</v>
      </c>
      <c r="B81" s="376" t="inlineStr">
        <is>
          <t>Thu</t>
        </is>
      </c>
      <c r="C81" s="376" t="n">
        <v>79</v>
      </c>
      <c r="D81" s="376" t="inlineStr">
        <is>
          <t>U5</t>
        </is>
      </c>
      <c r="E81" s="236" t="inlineStr">
        <is>
          <t>5.5 Crowding-out graph drill + AD implications</t>
        </is>
      </c>
      <c r="F81" s="324" t="inlineStr">
        <is>
          <t>Practice: 5.5 deck practice slides; Kunming/10 Loanable Funds Market
Arcade: Shift Happens, level 5 (crowding-out boss)</t>
        </is>
      </c>
      <c r="G81" s="378" t="inlineStr">
        <is>
          <t>Drill</t>
        </is>
      </c>
      <c r="H81" s="161" t="inlineStr">
        <is>
          <t>GREEN - ideal sub day, kit runs itself</t>
        </is>
      </c>
      <c r="I81" s="234" t="n"/>
    </row>
    <row r="82" ht="50" customHeight="1" s="142">
      <c r="A82" s="375" t="n">
        <v>46440</v>
      </c>
      <c r="B82" s="376" t="inlineStr">
        <is>
          <t>Mon</t>
        </is>
      </c>
      <c r="C82" s="376" t="n">
        <v>80</v>
      </c>
      <c r="D82" s="376" t="inlineStr">
        <is>
          <t>U5</t>
        </is>
      </c>
      <c r="E82" s="235" t="inlineStr">
        <is>
          <t>5.6 Economic growth: productivity &amp; sources (CLINT)</t>
        </is>
      </c>
      <c r="F82" s="323" t="inlineStr">
        <is>
          <t>Deck: Unit 5/5.6 Economic Growth
Also: Unit 5/Economic Growth and Productivity (pps), economic growth workbook activity
AP Classroom: 5.6 videos + Topic Questions</t>
        </is>
      </c>
      <c r="G82" s="376" t="inlineStr">
        <is>
          <t>New content</t>
        </is>
      </c>
      <c r="H82" s="154" t="inlineStr">
        <is>
          <t>YELLOW - sub-able with kit; re-sync rule applies after</t>
        </is>
      </c>
      <c r="I82" s="234" t="n"/>
    </row>
    <row r="83" ht="38.5" customHeight="1" s="142">
      <c r="A83" s="381" t="n">
        <v>46441</v>
      </c>
      <c r="B83" s="382" t="inlineStr">
        <is>
          <t>Tue</t>
        </is>
      </c>
      <c r="C83" s="382" t="n">
        <v>81</v>
      </c>
      <c r="D83" s="382" t="inlineStr">
        <is>
          <t>U5</t>
        </is>
      </c>
      <c r="E83" s="244" t="inlineStr">
        <is>
          <t>5.7 Public policy &amp; growth: supply-side, human capital (link: Dec externalities)</t>
        </is>
      </c>
      <c r="F83" s="327" t="inlineStr">
        <is>
          <t>Deck: Unit 5/5.7 Public Policy and Economic Growth
Also: Unit 5/economic growth frqs
AP Classroom: 5.7 videos + Topic Questions</t>
        </is>
      </c>
      <c r="G83" s="382" t="inlineStr">
        <is>
          <t>New content</t>
        </is>
      </c>
      <c r="H83" s="175" t="inlineStr">
        <is>
          <t>YELLOW - sub-able with kit; re-sync rule applies after</t>
        </is>
      </c>
      <c r="I83" s="245" t="n"/>
    </row>
    <row r="84" ht="38.5" customHeight="1" s="142">
      <c r="A84" s="375" t="n">
        <v>46442</v>
      </c>
      <c r="B84" s="376" t="inlineStr">
        <is>
          <t>Wed</t>
        </is>
      </c>
      <c r="C84" s="376" t="n">
        <v>82</v>
      </c>
      <c r="D84" s="376" t="inlineStr">
        <is>
          <t>U5</t>
        </is>
      </c>
      <c r="E84" s="238" t="inlineStr">
        <is>
          <t>"Becoming the FOMC for a Day" policy simulation</t>
        </is>
      </c>
      <c r="F84" s="325" t="inlineStr">
        <is>
          <t>Activity: Unit 5/Becoming the FOMC for a Day (update its Fed tools to IORB first) + FOMC Press Release Worksheet
Arcade: Fed Chair (1980, 2008 or 2021 era)</t>
        </is>
      </c>
      <c r="G84" s="379" t="inlineStr">
        <is>
          <t>Game</t>
        </is>
      </c>
      <c r="H84" s="161" t="inlineStr">
        <is>
          <t>GREEN - ideal sub day, kit runs itself</t>
        </is>
      </c>
      <c r="I84" s="234" t="n"/>
    </row>
    <row r="85" ht="50" customHeight="1" s="142">
      <c r="A85" s="381" t="n">
        <v>46443</v>
      </c>
      <c r="B85" s="382" t="inlineStr">
        <is>
          <t>Thu</t>
        </is>
      </c>
      <c r="C85" s="382" t="n">
        <v>83</v>
      </c>
      <c r="D85" s="382" t="inlineStr">
        <is>
          <t>U5</t>
        </is>
      </c>
      <c r="E85" s="246" t="inlineStr">
        <is>
          <t>Unit 5 review gauntlet + review game • assign Progress Check 5</t>
        </is>
      </c>
      <c r="F85" s="328" t="inlineStr">
        <is>
          <t>Arcade: Crisis Country; Shift Happens, level 7
Practice: Unit 5/monetary policy mc, economic growth multiple choice questions
AP Classroom: assign the Unit 5 Progress Check</t>
        </is>
      </c>
      <c r="G85" s="383" t="inlineStr">
        <is>
          <t>Review</t>
        </is>
      </c>
      <c r="H85" s="183" t="inlineStr">
        <is>
          <t>GREEN - ideal sub day, kit runs itself</t>
        </is>
      </c>
      <c r="I85" s="245" t="n"/>
    </row>
    <row r="86" ht="38.5" customHeight="1" s="142">
      <c r="A86" s="381" t="n">
        <v>46447</v>
      </c>
      <c r="B86" s="384" t="inlineStr">
        <is>
          <t>Mon</t>
        </is>
      </c>
      <c r="C86" s="384" t="n">
        <v>84</v>
      </c>
      <c r="D86" s="384" t="inlineStr">
        <is>
          <t>U5</t>
        </is>
      </c>
      <c r="E86" s="249" t="inlineStr">
        <is>
          <t>UNIT 5 TEST - Day 1: 20 MCQ</t>
        </is>
      </c>
      <c r="F86" s="329" t="inlineStr">
        <is>
          <t>Test: Unit 5 test (not in your folder yet)
Question sources: AP Classroom Question Bank; the check questions in the 5.1 to 5.7 decks</t>
        </is>
      </c>
      <c r="G86" s="385" t="inlineStr">
        <is>
          <t>TEST</t>
        </is>
      </c>
      <c r="H86" s="187" t="inlineStr">
        <is>
          <t>RED - protect this day: reschedule, do not sub it</t>
        </is>
      </c>
      <c r="I86" s="245" t="n"/>
    </row>
    <row r="87" ht="27" customHeight="1" s="142">
      <c r="A87" s="381" t="n">
        <v>46448</v>
      </c>
      <c r="B87" s="384" t="inlineStr">
        <is>
          <t>Tue</t>
        </is>
      </c>
      <c r="C87" s="384" t="n">
        <v>85</v>
      </c>
      <c r="D87" s="384" t="inlineStr">
        <is>
          <t>U5</t>
        </is>
      </c>
      <c r="E87" s="249" t="inlineStr">
        <is>
          <t>UNIT 5 TEST - Day 2: long FRQ</t>
        </is>
      </c>
      <c r="F87" s="329" t="inlineStr">
        <is>
          <t>FRQ: Unit 5/ap05_frq_macro_b or macroeco_frq_02 (released), or AP Classroom Archive of Exam FRQs</t>
        </is>
      </c>
      <c r="G87" s="385" t="inlineStr">
        <is>
          <t>TEST</t>
        </is>
      </c>
      <c r="H87" s="187" t="inlineStr">
        <is>
          <t>RED - protect this day: reschedule, do not sub it</t>
        </is>
      </c>
      <c r="I87" s="245" t="n"/>
    </row>
    <row r="88" ht="27" customHeight="1" s="142">
      <c r="A88" s="381" t="n">
        <v>46449</v>
      </c>
      <c r="B88" s="382" t="inlineStr">
        <is>
          <t>Wed</t>
        </is>
      </c>
      <c r="C88" s="382" t="n">
        <v>86</v>
      </c>
      <c r="D88" s="382" t="inlineStr">
        <is>
          <t>U5</t>
        </is>
      </c>
      <c r="E88" s="246" t="inlineStr">
        <is>
          <t>Debrief + error-log + reteach</t>
        </is>
      </c>
      <c r="F88" s="328" t="inlineStr">
        <is>
          <t>Graded tests + error log</t>
        </is>
      </c>
      <c r="G88" s="383" t="inlineStr">
        <is>
          <t>Review</t>
        </is>
      </c>
      <c r="H88" s="175" t="inlineStr">
        <is>
          <t>YELLOW - sub-able with kit; re-sync rule applies after</t>
        </is>
      </c>
      <c r="I88" s="245" t="n"/>
    </row>
    <row r="89" ht="29.5" customHeight="1" s="142">
      <c r="A89" s="348" t="n">
        <v>46450</v>
      </c>
      <c r="B89" s="349" t="inlineStr">
        <is>
          <t>Thu</t>
        </is>
      </c>
      <c r="C89" s="349" t="n">
        <v>87</v>
      </c>
      <c r="D89" s="349" t="inlineStr">
        <is>
          <t>Micro</t>
        </is>
      </c>
      <c r="E89" s="179" t="inlineStr">
        <is>
          <t>Micro 3-4 Types of competition: 4 market structures, price takers vs makers</t>
        </is>
      </c>
      <c r="F89" s="302" t="inlineStr">
        <is>
          <t>Deck: Micro Bridges/M9 Types of Competition
Also: Micro/_Misc/market structures (pptx)</t>
        </is>
      </c>
      <c r="G89" s="349" t="inlineStr">
        <is>
          <t>New content</t>
        </is>
      </c>
      <c r="H89" s="175" t="inlineStr">
        <is>
          <t>YELLOW - sub-able with kit; re-sync rule applies after</t>
        </is>
      </c>
      <c r="I89" s="180" t="n"/>
    </row>
    <row r="90" ht="29.5" customHeight="1" s="142">
      <c r="A90" s="348" t="n">
        <v>46454</v>
      </c>
      <c r="B90" s="349" t="inlineStr">
        <is>
          <t>Mon</t>
        </is>
      </c>
      <c r="C90" s="349" t="n">
        <v>88</v>
      </c>
      <c r="D90" s="349" t="inlineStr">
        <is>
          <t>Micro</t>
        </is>
      </c>
      <c r="E90" s="179" t="inlineStr">
        <is>
          <t>Micro 4.2/4.4 Monopoly &amp; monopolistic competition: antitrust, brands &amp; ads</t>
        </is>
      </c>
      <c r="F90" s="302" t="inlineStr">
        <is>
          <t>Deck: Micro Bridges/M10 Monopoly and Monopolistic Competition
Also: Micro/Unit 4/monopoly cheat sheets</t>
        </is>
      </c>
      <c r="G90" s="349" t="inlineStr">
        <is>
          <t>New content</t>
        </is>
      </c>
      <c r="H90" s="175" t="inlineStr">
        <is>
          <t>YELLOW - sub-able with kit; re-sync rule applies after</t>
        </is>
      </c>
      <c r="I90" s="180" t="n"/>
    </row>
    <row r="91" ht="38.5" customHeight="1" s="142">
      <c r="A91" s="348" t="n">
        <v>46455</v>
      </c>
      <c r="B91" s="349" t="inlineStr">
        <is>
          <t>Tue</t>
        </is>
      </c>
      <c r="C91" s="349" t="n">
        <v>89</v>
      </c>
      <c r="D91" s="349" t="inlineStr">
        <is>
          <t>Micro</t>
        </is>
      </c>
      <c r="E91" s="251" t="inlineStr">
        <is>
          <t>Micro 4.5 Oligopoly: prisoner's dilemma game + MICRO QUIZ 2 (competition)</t>
        </is>
      </c>
      <c r="F91" s="330" t="inlineStr">
        <is>
          <t>Deck: Micro Bridges/M11 Oligopoly and Game Theory
Quiz: Micro Bridges/M11 Micro Quiz 2 + Answer Key (Word and PDF)
Also: Micro/_Misc/prisoners dilemma (doc)</t>
        </is>
      </c>
      <c r="G91" s="386" t="inlineStr">
        <is>
          <t>Game</t>
        </is>
      </c>
      <c r="H91" s="175" t="inlineStr">
        <is>
          <t>YELLOW - sub-able with kit; re-sync rule applies after</t>
        </is>
      </c>
      <c r="I91" s="180" t="n"/>
    </row>
    <row r="92" ht="38.5" customHeight="1" s="142">
      <c r="A92" s="387" t="n">
        <v>46456</v>
      </c>
      <c r="B92" s="388" t="inlineStr">
        <is>
          <t>Wed</t>
        </is>
      </c>
      <c r="C92" s="388" t="n">
        <v>90</v>
      </c>
      <c r="D92" s="388" t="inlineStr">
        <is>
          <t>U6</t>
        </is>
      </c>
      <c r="E92" s="255" t="inlineStr">
        <is>
          <t>6.1 Balance of payments: current vs capital/financial account</t>
        </is>
      </c>
      <c r="F92" s="331" t="inlineStr">
        <is>
          <t>Deck: Unit 6/6.1 Balance of Payments Accounts
Also: Unit 6/25_Balance_of_Payments, Balance of Payments (pps)
AP Classroom: 6.1 videos + Topic Questions</t>
        </is>
      </c>
      <c r="G92" s="388" t="inlineStr">
        <is>
          <t>New content</t>
        </is>
      </c>
      <c r="H92" s="175" t="inlineStr">
        <is>
          <t>YELLOW - sub-able with kit; re-sync rule applies after</t>
        </is>
      </c>
      <c r="I92" s="256" t="n"/>
    </row>
    <row r="93" ht="38.5" customHeight="1" s="142">
      <c r="A93" s="387" t="n">
        <v>46457</v>
      </c>
      <c r="B93" s="388" t="inlineStr">
        <is>
          <t>Thu</t>
        </is>
      </c>
      <c r="C93" s="388" t="n">
        <v>91</v>
      </c>
      <c r="D93" s="388" t="inlineStr">
        <is>
          <t>U6</t>
        </is>
      </c>
      <c r="E93" s="257" t="inlineStr">
        <is>
          <t>6.1 CA/FA transaction classification drill</t>
        </is>
      </c>
      <c r="F93" s="332" t="inlineStr">
        <is>
          <t>Practice: 6.1 deck sorting drill; Unit 6/balance of payments (doc), balance of payments frq + rubric
Arcade: Sort Circuit, Current or Financial account deck</t>
        </is>
      </c>
      <c r="G93" s="389" t="inlineStr">
        <is>
          <t>Drill</t>
        </is>
      </c>
      <c r="H93" s="183" t="inlineStr">
        <is>
          <t>GREEN - ideal sub day, kit runs itself</t>
        </is>
      </c>
      <c r="I93" s="256" t="n"/>
    </row>
    <row r="94" ht="27" customHeight="1" s="142">
      <c r="A94" s="387" t="n">
        <v>46461</v>
      </c>
      <c r="B94" s="388" t="inlineStr">
        <is>
          <t>Mon</t>
        </is>
      </c>
      <c r="C94" s="388" t="n">
        <v>92</v>
      </c>
      <c r="D94" s="388" t="inlineStr">
        <is>
          <t>U6</t>
        </is>
      </c>
      <c r="E94" s="255" t="inlineStr">
        <is>
          <t>6.2 Exchange rates: appreciation/depreciation</t>
        </is>
      </c>
      <c r="F94" s="331" t="inlineStr">
        <is>
          <t>Deck: Unit 6/6.2 Exchange Rates
AP Classroom: 6.2 videos + Topic Questions</t>
        </is>
      </c>
      <c r="G94" s="388" t="inlineStr">
        <is>
          <t>New content</t>
        </is>
      </c>
      <c r="H94" s="175" t="inlineStr">
        <is>
          <t>YELLOW - sub-able with kit; re-sync rule applies after</t>
        </is>
      </c>
      <c r="I94" s="256" t="n"/>
    </row>
    <row r="95" ht="61.5" customHeight="1" s="142">
      <c r="A95" s="387" t="n">
        <v>46462</v>
      </c>
      <c r="B95" s="388" t="inlineStr">
        <is>
          <t>Tue</t>
        </is>
      </c>
      <c r="C95" s="388" t="n">
        <v>93</v>
      </c>
      <c r="D95" s="388" t="inlineStr">
        <is>
          <t>U6</t>
        </is>
      </c>
      <c r="E95" s="255" t="inlineStr">
        <is>
          <t>6.3 FOREX market: D/S of a currency, graphing</t>
        </is>
      </c>
      <c r="F95" s="331" t="inlineStr">
        <is>
          <t>Deck: Unit 6/6.3 The Foreign Exchange Market
Also: Unit 6/24_Foreign_Exchange_Markets; Kunming/12 FOREX market; video Videos/FOREX 1
Arcade: Shift Happens, level 6
AP Classroom: 6.3 videos + Topic Questions</t>
        </is>
      </c>
      <c r="G95" s="388" t="inlineStr">
        <is>
          <t>New content</t>
        </is>
      </c>
      <c r="H95" s="175" t="inlineStr">
        <is>
          <t>YELLOW - sub-able with kit; re-sync rule applies after</t>
        </is>
      </c>
      <c r="I95" s="256" t="n"/>
    </row>
    <row r="96" ht="38.5" customHeight="1" s="142">
      <c r="A96" s="387" t="n">
        <v>46463</v>
      </c>
      <c r="B96" s="388" t="inlineStr">
        <is>
          <t>Wed</t>
        </is>
      </c>
      <c r="C96" s="388" t="n">
        <v>94</v>
      </c>
      <c r="D96" s="388" t="inlineStr">
        <is>
          <t>U6</t>
        </is>
      </c>
      <c r="E96" s="255" t="inlineStr">
        <is>
          <t>6.4 Policies &amp; conditions -&gt; FOREX (TIPS shifters)</t>
        </is>
      </c>
      <c r="F96" s="331" t="inlineStr">
        <is>
          <t>Deck: Unit 6/6.4 Policies, Conditions, and the Foreign Exchange Market
Video: Videos/FOREX 2
AP Classroom: 6.4 videos + Topic Questions</t>
        </is>
      </c>
      <c r="G96" s="388" t="inlineStr">
        <is>
          <t>New content</t>
        </is>
      </c>
      <c r="H96" s="175" t="inlineStr">
        <is>
          <t>YELLOW - sub-able with kit; re-sync rule applies after</t>
        </is>
      </c>
      <c r="I96" s="256" t="n"/>
    </row>
    <row r="97" ht="38.5" customHeight="1" s="142">
      <c r="A97" s="387" t="n">
        <v>46464</v>
      </c>
      <c r="B97" s="388" t="inlineStr">
        <is>
          <t>Thu</t>
        </is>
      </c>
      <c r="C97" s="388" t="n">
        <v>95</v>
      </c>
      <c r="D97" s="388" t="inlineStr">
        <is>
          <t>U6</t>
        </is>
      </c>
      <c r="E97" s="255" t="inlineStr">
        <is>
          <t>6.5 FOREX -&gt; net exports -&gt; AD chains</t>
        </is>
      </c>
      <c r="F97" s="331" t="inlineStr">
        <is>
          <t>Deck: Unit 6/6.5 Exchange Rates and Net Exports
Video: Videos/Net Export Effect
AP Classroom: 6.5 videos + Topic Questions</t>
        </is>
      </c>
      <c r="G97" s="388" t="inlineStr">
        <is>
          <t>New content</t>
        </is>
      </c>
      <c r="H97" s="175" t="inlineStr">
        <is>
          <t>YELLOW - sub-able with kit; re-sync rule applies after</t>
        </is>
      </c>
      <c r="I97" s="256" t="n"/>
    </row>
    <row r="98" ht="27" customHeight="1" s="142">
      <c r="A98" s="387" t="n">
        <v>46468</v>
      </c>
      <c r="B98" s="388" t="inlineStr">
        <is>
          <t>Mon</t>
        </is>
      </c>
      <c r="C98" s="388" t="n">
        <v>96</v>
      </c>
      <c r="D98" s="388" t="inlineStr">
        <is>
          <t>U6</t>
        </is>
      </c>
      <c r="E98" s="259" t="inlineStr">
        <is>
          <t>FOREX speed-round game (short fast-day period)</t>
        </is>
      </c>
      <c r="F98" s="333" t="inlineStr">
        <is>
          <t>Arcade: Shift Happens, level 6; Crisis Country, The Run on the Peso</t>
        </is>
      </c>
      <c r="G98" s="390" t="inlineStr">
        <is>
          <t>Game</t>
        </is>
      </c>
      <c r="H98" s="183" t="inlineStr">
        <is>
          <t>GREEN - ideal sub day, kit runs itself</t>
        </is>
      </c>
      <c r="I98" s="256" t="inlineStr">
        <is>
          <t>Ta'anit Esther - 1:30 dismissal (SHORT/at-risk)</t>
        </is>
      </c>
    </row>
    <row r="99" ht="27" customHeight="1" s="142">
      <c r="A99" s="387" t="n">
        <v>46470</v>
      </c>
      <c r="B99" s="388" t="inlineStr">
        <is>
          <t>Wed</t>
        </is>
      </c>
      <c r="C99" s="388" t="n">
        <v>97</v>
      </c>
      <c r="D99" s="388" t="inlineStr">
        <is>
          <t>U6</t>
        </is>
      </c>
      <c r="E99" s="255" t="inlineStr">
        <is>
          <t>6.6 Real interest rates &amp; international capital flows</t>
        </is>
      </c>
      <c r="F99" s="331" t="inlineStr">
        <is>
          <t>Deck: Unit 6/6.6 Real Interest Rates and International Capital Flows
AP Classroom: 6.6 videos + Topic Questions</t>
        </is>
      </c>
      <c r="G99" s="388" t="inlineStr">
        <is>
          <t>New content</t>
        </is>
      </c>
      <c r="H99" s="175" t="inlineStr">
        <is>
          <t>YELLOW - sub-able with kit; re-sync rule applies after</t>
        </is>
      </c>
      <c r="I99" s="256" t="inlineStr">
        <is>
          <t>Shushan Purim - late arrival (AM only affected)</t>
        </is>
      </c>
    </row>
    <row r="100" ht="38.5" customHeight="1" s="142">
      <c r="A100" s="387" t="n">
        <v>46471</v>
      </c>
      <c r="B100" s="388" t="inlineStr">
        <is>
          <t>Thu</t>
        </is>
      </c>
      <c r="C100" s="388" t="n">
        <v>98</v>
      </c>
      <c r="D100" s="388" t="inlineStr">
        <is>
          <t>U6</t>
        </is>
      </c>
      <c r="E100" s="261" t="inlineStr">
        <is>
          <t>Unit 6 gauntlet • assign Progress Check 6</t>
        </is>
      </c>
      <c r="F100" s="334" t="inlineStr">
        <is>
          <t>Practice: Unit 6/international mc, international frqs + frq rubrics
Arcade: Graph Doctor, Open Economy ward
AP Classroom: assign the Unit 6 Progress Check</t>
        </is>
      </c>
      <c r="G100" s="391" t="inlineStr">
        <is>
          <t>Review</t>
        </is>
      </c>
      <c r="H100" s="183" t="inlineStr">
        <is>
          <t>GREEN - ideal sub day, kit runs itself</t>
        </is>
      </c>
      <c r="I100" s="256" t="n"/>
    </row>
    <row r="101" ht="27" customHeight="1" s="142">
      <c r="A101" s="387" t="n">
        <v>46475</v>
      </c>
      <c r="B101" s="388" t="inlineStr">
        <is>
          <t>Mon</t>
        </is>
      </c>
      <c r="C101" s="388" t="n">
        <v>99</v>
      </c>
      <c r="D101" s="388" t="inlineStr">
        <is>
          <t>U6</t>
        </is>
      </c>
      <c r="E101" s="259" t="inlineStr">
        <is>
          <t>Unit 6 review game + tariffs recap (3:30 dismissal day)</t>
        </is>
      </c>
      <c r="F101" s="333" t="inlineStr">
        <is>
          <t>Tariffs recap: Micro Bridges/M5 Tariffs and Quotas
Arcade: Crisis Country, The Trade War</t>
        </is>
      </c>
      <c r="G101" s="390" t="inlineStr">
        <is>
          <t>Game</t>
        </is>
      </c>
      <c r="H101" s="183" t="inlineStr">
        <is>
          <t>GREEN - ideal sub day, kit runs itself</t>
        </is>
      </c>
      <c r="I101" s="256" t="inlineStr">
        <is>
          <t>P-T conferences 3:30 dismissal (at-risk)</t>
        </is>
      </c>
    </row>
    <row r="102" ht="38.5" customHeight="1" s="142">
      <c r="A102" s="387" t="n">
        <v>46476</v>
      </c>
      <c r="B102" s="392" t="inlineStr">
        <is>
          <t>Tue</t>
        </is>
      </c>
      <c r="C102" s="392" t="n">
        <v>100</v>
      </c>
      <c r="D102" s="392" t="inlineStr">
        <is>
          <t>U6</t>
        </is>
      </c>
      <c r="E102" s="264" t="inlineStr">
        <is>
          <t>UNIT 6 TEST (15 MCQ + short FRQ) + 2 MCQ on tariffs</t>
        </is>
      </c>
      <c r="F102" s="335" t="inlineStr">
        <is>
          <t>Test: Unit 6 test (not in your folder yet)
Micro MCQs: hidden test-bank slides at the end of M5 (tariffs) and M11
Question sources: AP Classroom Question Bank; Unit 6/international mc</t>
        </is>
      </c>
      <c r="G102" s="393" t="inlineStr">
        <is>
          <t>TEST</t>
        </is>
      </c>
      <c r="H102" s="187" t="inlineStr">
        <is>
          <t>RED - protect this day: reschedule, do not sub it</t>
        </is>
      </c>
      <c r="I102" s="256" t="n"/>
    </row>
    <row r="103" ht="29.5" customHeight="1" s="142">
      <c r="A103" s="394" t="n">
        <v>46477</v>
      </c>
      <c r="B103" s="395" t="inlineStr">
        <is>
          <t>Wed</t>
        </is>
      </c>
      <c r="C103" s="395" t="n">
        <v>101</v>
      </c>
      <c r="D103" s="395" t="inlineStr">
        <is>
          <t>Review</t>
        </is>
      </c>
      <c r="E103" s="268" t="inlineStr">
        <is>
          <t>Test debrief + REVIEW KICKOFF: distribute Macro Review Booklet + plan</t>
        </is>
      </c>
      <c r="F103" s="336" t="inlineStr">
        <is>
          <t>Review Booklet: not made yet (plan: _Misc/AP_MACRO_REVIEW_PLAN_v4_FINAL)
Also: _Misc/AP_Macro_Master_Review (pdf); Prep/day1 to day4 macro review</t>
        </is>
      </c>
      <c r="G103" s="396" t="inlineStr">
        <is>
          <t>Review</t>
        </is>
      </c>
      <c r="H103" s="187" t="inlineStr">
        <is>
          <t>RED - protect this day: reschedule, do not sub it</t>
        </is>
      </c>
      <c r="I103" s="270" t="n"/>
    </row>
    <row r="104" ht="38.5" customHeight="1" s="142">
      <c r="A104" s="394" t="n">
        <v>46478</v>
      </c>
      <c r="B104" s="395" t="inlineStr">
        <is>
          <t>Thu</t>
        </is>
      </c>
      <c r="C104" s="395" t="n">
        <v>102</v>
      </c>
      <c r="D104" s="395" t="inlineStr">
        <is>
          <t>Review</t>
        </is>
      </c>
      <c r="E104" s="268" t="inlineStr">
        <is>
          <t>Units 1-2 rapid review + mixed MCQ set</t>
        </is>
      </c>
      <c r="F104" s="336" t="inlineStr">
        <is>
          <t>Review: _Misc/AP_Macro_Master_Review, Units 1 and 2
Arcade: Sort Circuit, GDP or Not; Calc Blitz, Measuring the Economy
AP Classroom: Question Bank, Units 1 and 2</t>
        </is>
      </c>
      <c r="G104" s="396" t="inlineStr">
        <is>
          <t>Review</t>
        </is>
      </c>
      <c r="H104" s="183" t="inlineStr">
        <is>
          <t>GREEN - ideal sub day, kit runs itself</t>
        </is>
      </c>
      <c r="I104" s="270" t="n"/>
    </row>
    <row r="105" ht="27" customHeight="1" s="142">
      <c r="A105" s="394" t="n">
        <v>46482</v>
      </c>
      <c r="B105" s="395" t="inlineStr">
        <is>
          <t>Mon</t>
        </is>
      </c>
      <c r="C105" s="395" t="n">
        <v>103</v>
      </c>
      <c r="D105" s="395" t="inlineStr">
        <is>
          <t>Review</t>
        </is>
      </c>
      <c r="E105" s="268" t="inlineStr">
        <is>
          <t>Unit 3 review: AD-AS full-chain gauntlet</t>
        </is>
      </c>
      <c r="F105" s="336" t="inlineStr">
        <is>
          <t>Review: Unit 3/Cause &amp; Effect; _Misc/03_Macroeconomics_Graphs
Arcade: Shift Happens, levels 1 to 3</t>
        </is>
      </c>
      <c r="G105" s="396" t="inlineStr">
        <is>
          <t>Review</t>
        </is>
      </c>
      <c r="H105" s="183" t="inlineStr">
        <is>
          <t>GREEN - ideal sub day, kit runs itself</t>
        </is>
      </c>
      <c r="I105" s="270" t="n"/>
    </row>
    <row r="106" ht="29.5" customHeight="1" s="142">
      <c r="A106" s="394" t="n">
        <v>46483</v>
      </c>
      <c r="B106" s="395" t="inlineStr">
        <is>
          <t>Tue</t>
        </is>
      </c>
      <c r="C106" s="395" t="n">
        <v>104</v>
      </c>
      <c r="D106" s="395" t="inlineStr">
        <is>
          <t>Review</t>
        </is>
      </c>
      <c r="E106" s="268" t="inlineStr">
        <is>
          <t>Unit 4 review: money market / reserve market / loanable funds triple</t>
        </is>
      </c>
      <c r="F106" s="336" t="inlineStr">
        <is>
          <t>Review: Unit 4/The Money Market and Loanable Funds Market Connection
Arcade: Shift Happens, levels 4 and 5; Graph Doctor, Money ward</t>
        </is>
      </c>
      <c r="G106" s="396" t="inlineStr">
        <is>
          <t>Review</t>
        </is>
      </c>
      <c r="H106" s="183" t="inlineStr">
        <is>
          <t>GREEN - ideal sub day, kit runs itself</t>
        </is>
      </c>
      <c r="I106" s="270" t="n"/>
    </row>
    <row r="107" ht="27" customHeight="1" s="142">
      <c r="A107" s="394" t="n">
        <v>46484</v>
      </c>
      <c r="B107" s="395" t="inlineStr">
        <is>
          <t>Wed</t>
        </is>
      </c>
      <c r="C107" s="395" t="n">
        <v>105</v>
      </c>
      <c r="D107" s="395" t="inlineStr">
        <is>
          <t>Review</t>
        </is>
      </c>
      <c r="E107" s="268" t="inlineStr">
        <is>
          <t>Units 5-6 review: Phillips + FOREX cause-effect chains</t>
        </is>
      </c>
      <c r="F107" s="336" t="inlineStr">
        <is>
          <t>Review: the wrap-up slides in the 5.x and 6.x decks
Arcade: Shift Happens, levels 6 and 7; Graph Doctor, Open Economy ward</t>
        </is>
      </c>
      <c r="G107" s="396" t="inlineStr">
        <is>
          <t>Review</t>
        </is>
      </c>
      <c r="H107" s="183" t="inlineStr">
        <is>
          <t>GREEN - ideal sub day, kit runs itself</t>
        </is>
      </c>
      <c r="I107" s="270" t="n"/>
    </row>
    <row r="108" ht="27" customHeight="1" s="142">
      <c r="A108" s="394" t="n">
        <v>46485</v>
      </c>
      <c r="B108" s="397" t="inlineStr">
        <is>
          <t>Thu</t>
        </is>
      </c>
      <c r="C108" s="397" t="n">
        <v>106</v>
      </c>
      <c r="D108" s="397" t="inlineStr">
        <is>
          <t>Review</t>
        </is>
      </c>
      <c r="E108" s="272" t="inlineStr">
        <is>
          <t>MOCK EXAM: MCQ half 1 (30 Q / 35 min, timed)</t>
        </is>
      </c>
      <c r="F108" s="337" t="inlineStr">
        <is>
          <t>Mock: AP Classroom Practice Exam (MCQ), or _Misc/TB_SupplementalPracticeExamMCQ (3 PDFs)</t>
        </is>
      </c>
      <c r="G108" s="398" t="inlineStr">
        <is>
          <t>MOCK</t>
        </is>
      </c>
      <c r="H108" s="187" t="inlineStr">
        <is>
          <t>RED - protect this day: reschedule, do not sub it</t>
        </is>
      </c>
      <c r="I108" s="270" t="n"/>
    </row>
    <row r="109" ht="27" customHeight="1" s="142">
      <c r="A109" s="394" t="n">
        <v>46489</v>
      </c>
      <c r="B109" s="397" t="inlineStr">
        <is>
          <t>Mon</t>
        </is>
      </c>
      <c r="C109" s="397" t="n">
        <v>107</v>
      </c>
      <c r="D109" s="397" t="inlineStr">
        <is>
          <t>Review</t>
        </is>
      </c>
      <c r="E109" s="272" t="inlineStr">
        <is>
          <t>MOCK EXAM: MCQ half 2 (30 Q / 35 min, timed)</t>
        </is>
      </c>
      <c r="F109" s="337" t="inlineStr">
        <is>
          <t>Mock: AP Classroom Practice Exam (MCQ), or _Misc/TB_SupplementalPracticeExamMCQ (3 PDFs)</t>
        </is>
      </c>
      <c r="G109" s="398" t="inlineStr">
        <is>
          <t>MOCK</t>
        </is>
      </c>
      <c r="H109" s="187" t="inlineStr">
        <is>
          <t>RED - protect this day: reschedule, do not sub it</t>
        </is>
      </c>
      <c r="I109" s="270" t="n"/>
    </row>
    <row r="110" ht="27" customHeight="1" s="142">
      <c r="A110" s="394" t="n">
        <v>46490</v>
      </c>
      <c r="B110" s="397" t="inlineStr">
        <is>
          <t>Tue</t>
        </is>
      </c>
      <c r="C110" s="397" t="n">
        <v>108</v>
      </c>
      <c r="D110" s="397" t="inlineStr">
        <is>
          <t>Review</t>
        </is>
      </c>
      <c r="E110" s="272" t="inlineStr">
        <is>
          <t>MOCK FRQ: long question timed (25 min) + rubric scoring</t>
        </is>
      </c>
      <c r="F110" s="337" t="inlineStr">
        <is>
          <t>Mock FRQ: AP Classroom Practice Exam FRQ or Archive of Exam FRQs + scoring guide</t>
        </is>
      </c>
      <c r="G110" s="398" t="inlineStr">
        <is>
          <t>MOCK</t>
        </is>
      </c>
      <c r="H110" s="187" t="inlineStr">
        <is>
          <t>RED - protect this day: reschedule, do not sub it</t>
        </is>
      </c>
      <c r="I110" s="270" t="n"/>
    </row>
    <row r="111" ht="27" customHeight="1" s="142">
      <c r="A111" s="394" t="n">
        <v>46491</v>
      </c>
      <c r="B111" s="397" t="inlineStr">
        <is>
          <t>Wed</t>
        </is>
      </c>
      <c r="C111" s="397" t="n">
        <v>109</v>
      </c>
      <c r="D111" s="397" t="inlineStr">
        <is>
          <t>Review</t>
        </is>
      </c>
      <c r="E111" s="272" t="inlineStr">
        <is>
          <t>MOCK FRQ: 2 short questions timed + self-score vs rubric</t>
        </is>
      </c>
      <c r="F111" s="337" t="inlineStr">
        <is>
          <t>Mock FRQ: AP Classroom Practice Exam FRQs or Archive of Exam FRQs + scoring guides</t>
        </is>
      </c>
      <c r="G111" s="398" t="inlineStr">
        <is>
          <t>MOCK</t>
        </is>
      </c>
      <c r="H111" s="187" t="inlineStr">
        <is>
          <t>RED - protect this day: reschedule, do not sub it</t>
        </is>
      </c>
      <c r="I111" s="270" t="n"/>
    </row>
    <row r="112" ht="29.5" customHeight="1" s="142">
      <c r="A112" s="394" t="n">
        <v>46492</v>
      </c>
      <c r="B112" s="395" t="inlineStr">
        <is>
          <t>Thu</t>
        </is>
      </c>
      <c r="C112" s="395" t="n">
        <v>110</v>
      </c>
      <c r="D112" s="395" t="inlineStr">
        <is>
          <t>Review</t>
        </is>
      </c>
      <c r="E112" s="268" t="inlineStr">
        <is>
          <t>Mock item analysis -&gt; weak-topic heat map • Pesach packet launch + strategy sheet</t>
        </is>
      </c>
      <c r="F112" s="336" t="inlineStr">
        <is>
          <t>Data: AP Classroom results + Arcade "My AP Readiness"
Pesach packet: not made yet; _Misc/AP_Macro_Master_Review_50pg</t>
        </is>
      </c>
      <c r="G112" s="396" t="inlineStr">
        <is>
          <t>Review</t>
        </is>
      </c>
      <c r="H112" s="175" t="inlineStr">
        <is>
          <t>YELLOW - sub-able with kit; re-sync rule applies after</t>
        </is>
      </c>
      <c r="I112" s="270" t="n"/>
    </row>
    <row r="113" ht="27" customHeight="1" s="142">
      <c r="A113" s="399" t="n">
        <v>46510</v>
      </c>
      <c r="B113" s="400" t="inlineStr">
        <is>
          <t>Mon</t>
        </is>
      </c>
      <c r="C113" s="400" t="n">
        <v>111</v>
      </c>
      <c r="D113" s="400" t="inlineStr">
        <is>
          <t>Sprint</t>
        </is>
      </c>
      <c r="E113" s="276" t="inlineStr">
        <is>
          <t>Packet triage: top-missed topics re-drill</t>
        </is>
      </c>
      <c r="F113" s="338" t="inlineStr">
        <is>
          <t>Pesach packet answer key (not made yet)</t>
        </is>
      </c>
      <c r="G113" s="401" t="inlineStr">
        <is>
          <t>Exam sprint</t>
        </is>
      </c>
      <c r="H113" s="148" t="inlineStr">
        <is>
          <t>RED - protect this day: reschedule, do not sub it</t>
        </is>
      </c>
      <c r="I113" s="278" t="n"/>
    </row>
    <row r="114" ht="29.5" customHeight="1" s="142">
      <c r="A114" s="399" t="n">
        <v>46511</v>
      </c>
      <c r="B114" s="400" t="inlineStr">
        <is>
          <t>Tue</t>
        </is>
      </c>
      <c r="C114" s="400" t="n">
        <v>112</v>
      </c>
      <c r="D114" s="400" t="inlineStr">
        <is>
          <t>Sprint</t>
        </is>
      </c>
      <c r="E114" s="276" t="inlineStr">
        <is>
          <t>FRQ dress rehearsal (timed long + short) [AP Micro exam today PM]</t>
        </is>
      </c>
      <c r="F114" s="338" t="inlineStr">
        <is>
          <t>FRQs: AP Classroom Archive of Exam FRQs; Prep/FRQ by topic (pptx)</t>
        </is>
      </c>
      <c r="G114" s="401" t="inlineStr">
        <is>
          <t>Exam sprint</t>
        </is>
      </c>
      <c r="H114" s="148" t="inlineStr">
        <is>
          <t>RED - protect this day: reschedule, do not sub it</t>
        </is>
      </c>
      <c r="I114" s="278" t="inlineStr">
        <is>
          <t>Yom HaShoah programming</t>
        </is>
      </c>
    </row>
    <row r="115" ht="27" customHeight="1" s="142">
      <c r="A115" s="399" t="n">
        <v>46512</v>
      </c>
      <c r="B115" s="400" t="inlineStr">
        <is>
          <t>Wed</t>
        </is>
      </c>
      <c r="C115" s="400" t="n">
        <v>113</v>
      </c>
      <c r="D115" s="400" t="inlineStr">
        <is>
          <t>Sprint</t>
        </is>
      </c>
      <c r="E115" s="276" t="inlineStr">
        <is>
          <t>Top-20 MCQ traps + calculator strategy + pacing plan</t>
        </is>
      </c>
      <c r="F115" s="338" t="inlineStr">
        <is>
          <t>Top-20 MCQ traps sheet (not made yet)
Also: Prep/TEST MISTAKES (doc)</t>
        </is>
      </c>
      <c r="G115" s="401" t="inlineStr">
        <is>
          <t>Exam sprint</t>
        </is>
      </c>
      <c r="H115" s="148" t="inlineStr">
        <is>
          <t>RED - protect this day: reschedule, do not sub it</t>
        </is>
      </c>
      <c r="I115" s="278" t="n"/>
    </row>
    <row r="116" ht="38.5" customHeight="1" s="142">
      <c r="A116" s="399" t="n">
        <v>46513</v>
      </c>
      <c r="B116" s="400" t="inlineStr">
        <is>
          <t>Thu</t>
        </is>
      </c>
      <c r="C116" s="400" t="n">
        <v>114</v>
      </c>
      <c r="D116" s="400" t="inlineStr">
        <is>
          <t>Sprint</t>
        </is>
      </c>
      <c r="E116" s="276" t="inlineStr">
        <is>
          <t>Formula/graph sheet from memory + rapid-fire game + logistics</t>
        </is>
      </c>
      <c r="F116" s="338" t="inlineStr">
        <is>
          <t>Also: _Misc/02_Macroeconomics_Formulas, 03_Macroeconomics_Graphs, Formulas fro AP Macro
Arcade: Arcade Night (projector mode)</t>
        </is>
      </c>
      <c r="G116" s="401" t="inlineStr">
        <is>
          <t>Exam sprint</t>
        </is>
      </c>
      <c r="H116" s="148" t="inlineStr">
        <is>
          <t>RED - protect this day: reschedule, do not sub it</t>
        </is>
      </c>
      <c r="I116" s="278" t="n"/>
    </row>
    <row r="117" ht="29.5" customHeight="1" s="142">
      <c r="A117" s="402" t="n">
        <v>46517</v>
      </c>
      <c r="B117" s="403" t="inlineStr">
        <is>
          <t>Mon</t>
        </is>
      </c>
      <c r="C117" s="403" t="n"/>
      <c r="D117" s="403" t="inlineStr">
        <is>
          <t>PostAP</t>
        </is>
      </c>
      <c r="E117" s="281" t="inlineStr">
        <is>
          <t>Seniors out post-AP - no class from here. (Wrap all grading by May 6; VERIFY senior final-exam policy)</t>
        </is>
      </c>
      <c r="F117" s="339" t="n"/>
      <c r="G117" s="403" t="inlineStr">
        <is>
          <t>No class (seniors out)</t>
        </is>
      </c>
      <c r="H117" s="281" t="inlineStr">
        <is>
          <t>FREE - costs this course nothing (seniors out)</t>
        </is>
      </c>
      <c r="I117" s="281" t="n"/>
    </row>
    <row r="118" ht="27" customHeight="1" s="142">
      <c r="A118" s="402" t="n">
        <v>46518</v>
      </c>
      <c r="B118" s="403" t="inlineStr">
        <is>
          <t>Tue</t>
        </is>
      </c>
      <c r="C118" s="403" t="n"/>
      <c r="D118" s="403" t="inlineStr">
        <is>
          <t>PostAP</t>
        </is>
      </c>
      <c r="E118" s="281" t="inlineStr">
        <is>
          <t>Seniors out post-AP - no class</t>
        </is>
      </c>
      <c r="F118" s="339" t="n"/>
      <c r="G118" s="403" t="inlineStr">
        <is>
          <t>No class (seniors out)</t>
        </is>
      </c>
      <c r="H118" s="281" t="inlineStr">
        <is>
          <t>FREE - costs this course nothing (seniors out)</t>
        </is>
      </c>
      <c r="I118" s="281" t="inlineStr">
        <is>
          <t>Yom HaZikaron programming</t>
        </is>
      </c>
    </row>
    <row r="119" ht="27" customHeight="1" s="142">
      <c r="A119" s="402" t="n">
        <v>46519</v>
      </c>
      <c r="B119" s="403" t="inlineStr">
        <is>
          <t>Wed</t>
        </is>
      </c>
      <c r="C119" s="403" t="n"/>
      <c r="D119" s="403" t="inlineStr">
        <is>
          <t>PostAP</t>
        </is>
      </c>
      <c r="E119" s="281" t="inlineStr">
        <is>
          <t>Seniors out post-AP - no class</t>
        </is>
      </c>
      <c r="F119" s="339" t="n"/>
      <c r="G119" s="403" t="inlineStr">
        <is>
          <t>No class (seniors out)</t>
        </is>
      </c>
      <c r="H119" s="281" t="inlineStr">
        <is>
          <t>FREE - costs this course nothing (seniors out)</t>
        </is>
      </c>
      <c r="I119" s="281" t="inlineStr">
        <is>
          <t>Yom HaAtzmaut programming</t>
        </is>
      </c>
    </row>
    <row r="120" ht="27" customHeight="1" s="142">
      <c r="A120" s="402" t="n">
        <v>46520</v>
      </c>
      <c r="B120" s="403" t="inlineStr">
        <is>
          <t>Thu</t>
        </is>
      </c>
      <c r="C120" s="403" t="n"/>
      <c r="D120" s="403" t="inlineStr">
        <is>
          <t>PostAP</t>
        </is>
      </c>
      <c r="E120" s="281" t="inlineStr">
        <is>
          <t>Seniors out post-AP - no class</t>
        </is>
      </c>
      <c r="F120" s="339" t="n"/>
      <c r="G120" s="403" t="inlineStr">
        <is>
          <t>No class (seniors out)</t>
        </is>
      </c>
      <c r="H120" s="281" t="inlineStr">
        <is>
          <t>FREE - costs this course nothing (seniors out)</t>
        </is>
      </c>
      <c r="I120" s="281" t="n"/>
    </row>
    <row r="121" ht="27" customHeight="1" s="142">
      <c r="A121" s="402" t="n">
        <v>46524</v>
      </c>
      <c r="B121" s="403" t="inlineStr">
        <is>
          <t>Mon</t>
        </is>
      </c>
      <c r="C121" s="403" t="n"/>
      <c r="D121" s="403" t="inlineStr">
        <is>
          <t>PostAP</t>
        </is>
      </c>
      <c r="E121" s="281" t="inlineStr">
        <is>
          <t>Seniors out post-AP - no class</t>
        </is>
      </c>
      <c r="F121" s="339" t="n"/>
      <c r="G121" s="403" t="inlineStr">
        <is>
          <t>No class (seniors out)</t>
        </is>
      </c>
      <c r="H121" s="281" t="inlineStr">
        <is>
          <t>FREE - costs this course nothing (seniors out)</t>
        </is>
      </c>
      <c r="I121" s="281" t="n"/>
    </row>
    <row r="122" ht="27" customHeight="1" s="142">
      <c r="A122" s="402" t="n">
        <v>46525</v>
      </c>
      <c r="B122" s="403" t="inlineStr">
        <is>
          <t>Tue</t>
        </is>
      </c>
      <c r="C122" s="403" t="n"/>
      <c r="D122" s="403" t="inlineStr">
        <is>
          <t>PostAP</t>
        </is>
      </c>
      <c r="E122" s="281" t="inlineStr">
        <is>
          <t>Seniors out post-AP - no class</t>
        </is>
      </c>
      <c r="F122" s="339" t="n"/>
      <c r="G122" s="403" t="inlineStr">
        <is>
          <t>No class (seniors out)</t>
        </is>
      </c>
      <c r="H122" s="281" t="inlineStr">
        <is>
          <t>FREE - costs this course nothing (seniors out)</t>
        </is>
      </c>
      <c r="I122" s="281" t="n"/>
    </row>
    <row r="123" ht="27" customHeight="1" s="142">
      <c r="A123" s="402" t="n">
        <v>46526</v>
      </c>
      <c r="B123" s="403" t="inlineStr">
        <is>
          <t>Wed</t>
        </is>
      </c>
      <c r="C123" s="403" t="n"/>
      <c r="D123" s="403" t="inlineStr">
        <is>
          <t>PostAP</t>
        </is>
      </c>
      <c r="E123" s="281" t="inlineStr">
        <is>
          <t>Seniors out post-AP - no class</t>
        </is>
      </c>
      <c r="F123" s="339" t="n"/>
      <c r="G123" s="403" t="inlineStr">
        <is>
          <t>No class (seniors out)</t>
        </is>
      </c>
      <c r="H123" s="281" t="inlineStr">
        <is>
          <t>FREE - costs this course nothing (seniors out)</t>
        </is>
      </c>
      <c r="I123" s="281" t="n"/>
    </row>
    <row r="124" ht="27" customHeight="1" s="142">
      <c r="A124" s="402" t="n">
        <v>46527</v>
      </c>
      <c r="B124" s="403" t="inlineStr">
        <is>
          <t>Thu</t>
        </is>
      </c>
      <c r="C124" s="403" t="n"/>
      <c r="D124" s="403" t="inlineStr">
        <is>
          <t>PostAP</t>
        </is>
      </c>
      <c r="E124" s="281" t="inlineStr">
        <is>
          <t>Seniors out post-AP - no class</t>
        </is>
      </c>
      <c r="F124" s="339" t="n"/>
      <c r="G124" s="403" t="inlineStr">
        <is>
          <t>No class (seniors out)</t>
        </is>
      </c>
      <c r="H124" s="281" t="inlineStr">
        <is>
          <t>FREE - costs this course nothing (seniors out)</t>
        </is>
      </c>
      <c r="I124" s="281" t="n"/>
    </row>
    <row r="125" ht="27" customHeight="1" s="142">
      <c r="A125" s="402" t="n">
        <v>46531</v>
      </c>
      <c r="B125" s="403" t="inlineStr">
        <is>
          <t>Mon</t>
        </is>
      </c>
      <c r="C125" s="403" t="n"/>
      <c r="D125" s="403" t="inlineStr">
        <is>
          <t>PostAP</t>
        </is>
      </c>
      <c r="E125" s="281" t="inlineStr">
        <is>
          <t>Seniors out post-AP - no class</t>
        </is>
      </c>
      <c r="F125" s="339" t="n"/>
      <c r="G125" s="403" t="inlineStr">
        <is>
          <t>No class (seniors out)</t>
        </is>
      </c>
      <c r="H125" s="281" t="inlineStr">
        <is>
          <t>FREE - costs this course nothing (seniors out)</t>
        </is>
      </c>
      <c r="I125" s="281" t="n"/>
    </row>
    <row r="126" ht="27" customHeight="1" s="142">
      <c r="A126" s="402" t="n">
        <v>46532</v>
      </c>
      <c r="B126" s="403" t="inlineStr">
        <is>
          <t>Tue</t>
        </is>
      </c>
      <c r="C126" s="403" t="n"/>
      <c r="D126" s="403" t="inlineStr">
        <is>
          <t>PostAP</t>
        </is>
      </c>
      <c r="E126" s="281" t="inlineStr">
        <is>
          <t>Seniors out post-AP - no class</t>
        </is>
      </c>
      <c r="F126" s="339" t="n"/>
      <c r="G126" s="403" t="inlineStr">
        <is>
          <t>No class (seniors out)</t>
        </is>
      </c>
      <c r="H126" s="281" t="inlineStr">
        <is>
          <t>FREE - costs this course nothing (seniors out)</t>
        </is>
      </c>
      <c r="I126" s="281" t="inlineStr">
        <is>
          <t>Lag b'Omer</t>
        </is>
      </c>
    </row>
    <row r="127" ht="27" customHeight="1" s="142">
      <c r="A127" s="402" t="n">
        <v>46533</v>
      </c>
      <c r="B127" s="403" t="inlineStr">
        <is>
          <t>Wed</t>
        </is>
      </c>
      <c r="C127" s="403" t="n"/>
      <c r="D127" s="403" t="inlineStr">
        <is>
          <t>PostAP</t>
        </is>
      </c>
      <c r="E127" s="281" t="inlineStr">
        <is>
          <t>Seniors out post-AP - no class</t>
        </is>
      </c>
      <c r="F127" s="339" t="n"/>
      <c r="G127" s="403" t="inlineStr">
        <is>
          <t>No class (seniors out)</t>
        </is>
      </c>
      <c r="H127" s="281" t="inlineStr">
        <is>
          <t>FREE - costs this course nothing (seniors out)</t>
        </is>
      </c>
      <c r="I127" s="281" t="n"/>
    </row>
    <row r="128" ht="27" customHeight="1" s="142">
      <c r="A128" s="402" t="n">
        <v>46534</v>
      </c>
      <c r="B128" s="403" t="inlineStr">
        <is>
          <t>Thu</t>
        </is>
      </c>
      <c r="C128" s="403" t="n"/>
      <c r="D128" s="403" t="inlineStr">
        <is>
          <t>PostAP</t>
        </is>
      </c>
      <c r="E128" s="281" t="inlineStr">
        <is>
          <t>Seniors out post-AP - no class</t>
        </is>
      </c>
      <c r="F128" s="339" t="n"/>
      <c r="G128" s="403" t="inlineStr">
        <is>
          <t>No class (seniors out)</t>
        </is>
      </c>
      <c r="H128" s="281" t="inlineStr">
        <is>
          <t>FREE - costs this course nothing (seniors out)</t>
        </is>
      </c>
      <c r="I128" s="281" t="inlineStr">
        <is>
          <t>Trip Day gr 9-11</t>
        </is>
      </c>
    </row>
    <row r="129" ht="27" customHeight="1" s="142">
      <c r="A129" s="402" t="n">
        <v>46538</v>
      </c>
      <c r="B129" s="403" t="inlineStr">
        <is>
          <t>Mon</t>
        </is>
      </c>
      <c r="C129" s="403" t="n"/>
      <c r="D129" s="403" t="inlineStr">
        <is>
          <t>PostAP</t>
        </is>
      </c>
      <c r="E129" s="281" t="inlineStr">
        <is>
          <t>Seniors out post-AP - no class</t>
        </is>
      </c>
      <c r="F129" s="339" t="n"/>
      <c r="G129" s="403" t="inlineStr">
        <is>
          <t>No class (seniors out)</t>
        </is>
      </c>
      <c r="H129" s="281" t="inlineStr">
        <is>
          <t>FREE - costs this course nothing (seniors out)</t>
        </is>
      </c>
      <c r="I129" s="281" t="inlineStr">
        <is>
          <t>Memorial Day - school in session (VERIFY)</t>
        </is>
      </c>
    </row>
    <row r="130" ht="27" customHeight="1" s="142">
      <c r="A130" s="402" t="n">
        <v>46539</v>
      </c>
      <c r="B130" s="403" t="inlineStr">
        <is>
          <t>Tue</t>
        </is>
      </c>
      <c r="C130" s="403" t="n"/>
      <c r="D130" s="403" t="inlineStr">
        <is>
          <t>PostAP</t>
        </is>
      </c>
      <c r="E130" s="281" t="inlineStr">
        <is>
          <t>Seniors out post-AP - no class</t>
        </is>
      </c>
      <c r="F130" s="339" t="n"/>
      <c r="G130" s="403" t="inlineStr">
        <is>
          <t>No class (seniors out)</t>
        </is>
      </c>
      <c r="H130" s="281" t="inlineStr">
        <is>
          <t>FREE - costs this course nothing (seniors out)</t>
        </is>
      </c>
      <c r="I130" s="281" t="n"/>
    </row>
    <row r="131" ht="27" customHeight="1" s="142">
      <c r="A131" s="402" t="n">
        <v>46540</v>
      </c>
      <c r="B131" s="403" t="inlineStr">
        <is>
          <t>Wed</t>
        </is>
      </c>
      <c r="C131" s="403" t="n"/>
      <c r="D131" s="403" t="inlineStr">
        <is>
          <t>PostAP</t>
        </is>
      </c>
      <c r="E131" s="281" t="inlineStr">
        <is>
          <t>Seniors out post-AP - no class</t>
        </is>
      </c>
      <c r="F131" s="339" t="n"/>
      <c r="G131" s="403" t="inlineStr">
        <is>
          <t>No class (seniors out)</t>
        </is>
      </c>
      <c r="H131" s="281" t="inlineStr">
        <is>
          <t>FREE - costs this course nothing (seniors out)</t>
        </is>
      </c>
      <c r="I131" s="281" t="n"/>
    </row>
    <row r="132" ht="27" customHeight="1" s="142">
      <c r="A132" s="402" t="n">
        <v>46541</v>
      </c>
      <c r="B132" s="403" t="inlineStr">
        <is>
          <t>Thu</t>
        </is>
      </c>
      <c r="C132" s="403" t="n"/>
      <c r="D132" s="403" t="inlineStr">
        <is>
          <t>PostAP</t>
        </is>
      </c>
      <c r="E132" s="281" t="inlineStr">
        <is>
          <t>Seniors out post-AP - no class</t>
        </is>
      </c>
      <c r="F132" s="339" t="n"/>
      <c r="G132" s="403" t="inlineStr">
        <is>
          <t>No class (seniors out)</t>
        </is>
      </c>
      <c r="H132" s="281" t="inlineStr">
        <is>
          <t>FREE - costs this course nothing (seniors out)</t>
        </is>
      </c>
      <c r="I132" s="281" t="inlineStr">
        <is>
          <t>Last day of regular classes / Senior Trip departs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41" min="1" max="1"/>
    <col width="14" customWidth="1" style="141" min="2" max="2"/>
    <col width="16" customWidth="1" style="141" min="3" max="3"/>
    <col width="20" customWidth="1" style="141" min="4" max="4"/>
    <col width="22" customWidth="1" style="141" min="5" max="5"/>
    <col width="18" customWidth="1" style="141" min="6" max="6"/>
    <col width="60" customWidth="1" style="141" min="7" max="7"/>
  </cols>
  <sheetData>
    <row r="1" ht="15" customHeight="1" s="142">
      <c r="A1" s="143" t="inlineStr">
        <is>
          <t>Unit</t>
        </is>
      </c>
      <c r="B1" s="143" t="inlineStr">
        <is>
          <t>CED exam weight</t>
        </is>
      </c>
      <c r="C1" s="143" t="inlineStr">
        <is>
          <t>CED periods (45 min)</t>
        </is>
      </c>
      <c r="D1" s="143" t="inlineStr">
        <is>
          <t>Planned meetings (38 min)</t>
        </is>
      </c>
      <c r="E1" s="143" t="inlineStr">
        <is>
          <t>Dates</t>
        </is>
      </c>
      <c r="F1" s="143" t="inlineStr">
        <is>
          <t>Unit test</t>
        </is>
      </c>
      <c r="G1" s="143" t="inlineStr">
        <is>
          <t>Your core decks / materials</t>
        </is>
      </c>
    </row>
    <row r="2" ht="23.85" customHeight="1" s="142">
      <c r="A2" s="282" t="inlineStr">
        <is>
          <t>Unit 1: Basic Economic Concepts</t>
        </is>
      </c>
      <c r="B2" s="282" t="inlineStr">
        <is>
          <t>5-10%</t>
        </is>
      </c>
      <c r="C2" s="282" t="inlineStr">
        <is>
          <t>~8-10</t>
        </is>
      </c>
      <c r="D2" s="282">
        <f>COUNTIF('Year Calendar'!D:D,"U1")</f>
        <v/>
      </c>
      <c r="E2" s="283" t="inlineStr">
        <is>
          <t>Sep 3 - Oct 12</t>
        </is>
      </c>
      <c r="F2" s="282" t="inlineStr">
        <is>
          <t>Oct 12</t>
        </is>
      </c>
      <c r="G2" s="283" t="inlineStr">
        <is>
          <t>AP Macro Unit 1 deck (77 sl.) + Scarcity/PPC + Supply&amp;Demand decks + NCEE workbook + 1996 FRQ + 1.4/1.5 and 1.6 decks</t>
        </is>
      </c>
    </row>
    <row r="3" ht="23.85" customHeight="1" s="142">
      <c r="A3" s="282" t="inlineStr">
        <is>
          <t>Unit 2: Economic Indicators &amp; Business Cycle</t>
        </is>
      </c>
      <c r="B3" s="282" t="inlineStr">
        <is>
          <t>12-17%</t>
        </is>
      </c>
      <c r="C3" s="282" t="inlineStr">
        <is>
          <t>~9-11</t>
        </is>
      </c>
      <c r="D3" s="282">
        <f>COUNTIF('Year Calendar'!D:D,"U2")</f>
        <v/>
      </c>
      <c r="E3" s="283" t="inlineStr">
        <is>
          <t>Oct 21 - Nov 10</t>
        </is>
      </c>
      <c r="F3" s="282" t="inlineStr">
        <is>
          <t>Nov 9</t>
        </is>
      </c>
      <c r="G3" s="283" t="inlineStr">
        <is>
          <t>Unit 2 deck (58 sl.) + circular-flow manipulatives + Candy Inflation + M&amp;Ms Unemployment + calc drills</t>
        </is>
      </c>
    </row>
    <row r="4" ht="23.85" customHeight="1" s="142">
      <c r="A4" s="282" t="inlineStr">
        <is>
          <t>Unit 3: National Income &amp; Price Determination</t>
        </is>
      </c>
      <c r="B4" s="282" t="inlineStr">
        <is>
          <t>17-27%</t>
        </is>
      </c>
      <c r="C4" s="282" t="inlineStr">
        <is>
          <t>~10-12</t>
        </is>
      </c>
      <c r="D4" s="282">
        <f>COUNTIF('Year Calendar'!D:D,"U3")</f>
        <v/>
      </c>
      <c r="E4" s="283" t="inlineStr">
        <is>
          <t>Nov 11 - Dec 16</t>
        </is>
      </c>
      <c r="F4" s="282" t="inlineStr">
        <is>
          <t>Dec 15-16</t>
        </is>
      </c>
      <c r="G4" s="283" t="inlineStr">
        <is>
          <t>Unit3_1 AD + Multipliers_SRAS + LRAS_ADAS + AD_AS_Changes + Fiscal_AutoStabilizers + AD game (html)</t>
        </is>
      </c>
    </row>
    <row r="5" ht="23.85" customHeight="1" s="142">
      <c r="A5" s="282" t="inlineStr">
        <is>
          <t>Unit 4: Financial Sector</t>
        </is>
      </c>
      <c r="B5" s="282" t="inlineStr">
        <is>
          <t>18-23%</t>
        </is>
      </c>
      <c r="C5" s="282" t="inlineStr">
        <is>
          <t>~11-13</t>
        </is>
      </c>
      <c r="D5" s="282">
        <f>COUNTIF('Year Calendar'!D:D,"U4")</f>
        <v/>
      </c>
      <c r="E5" s="283" t="inlineStr">
        <is>
          <t>Dec 17 - Jan 12 + midterm</t>
        </is>
      </c>
      <c r="F5" s="282" t="inlineStr">
        <is>
          <t>Midterm mock (U1-4)</t>
        </is>
      </c>
      <c r="G5" s="283" t="inlineStr">
        <is>
          <t>4.1-4.7 modular decks (UPDATE 4.6 to ample reserves/IORB + reserve market graph)</t>
        </is>
      </c>
    </row>
    <row r="6" ht="15" customHeight="1" s="142">
      <c r="A6" s="282" t="inlineStr">
        <is>
          <t>Unit 5: Long-Run Consequences</t>
        </is>
      </c>
      <c r="B6" s="282" t="inlineStr">
        <is>
          <t>20-30%</t>
        </is>
      </c>
      <c r="C6" s="282" t="inlineStr">
        <is>
          <t>~8-10</t>
        </is>
      </c>
      <c r="D6" s="282">
        <f>COUNTIF('Year Calendar'!D:D,"U5")</f>
        <v/>
      </c>
      <c r="E6" s="283" t="inlineStr">
        <is>
          <t>Feb 1 - Mar 3</t>
        </is>
      </c>
      <c r="F6" s="282" t="inlineStr">
        <is>
          <t>Mar 1-2</t>
        </is>
      </c>
      <c r="G6" s="283" t="inlineStr">
        <is>
          <t>5.1-5.7 lesson decks + FOMC-for-a-Day + MV=PQ game + Phillips materials</t>
        </is>
      </c>
    </row>
    <row r="7" ht="15" customHeight="1" s="142">
      <c r="A7" s="282" t="inlineStr">
        <is>
          <t>Unit 6: Open Economy</t>
        </is>
      </c>
      <c r="B7" s="282" t="inlineStr">
        <is>
          <t>10-13%</t>
        </is>
      </c>
      <c r="C7" s="282" t="inlineStr">
        <is>
          <t>~5-7</t>
        </is>
      </c>
      <c r="D7" s="282">
        <f>COUNTIF('Year Calendar'!D:D,"U6")</f>
        <v/>
      </c>
      <c r="E7" s="283" t="inlineStr">
        <is>
          <t>Mar 10 - Mar 30</t>
        </is>
      </c>
      <c r="F7" s="282" t="inlineStr">
        <is>
          <t>Mar 30</t>
        </is>
      </c>
      <c r="G7" s="283" t="inlineStr">
        <is>
          <t>6.1-6.6 lesson decks + BoP/FOREX FRQs</t>
        </is>
      </c>
    </row>
    <row r="8" ht="35.05" customHeight="1" s="142">
      <c r="A8" s="282" t="inlineStr">
        <is>
          <t>Micro bridges (whole class)</t>
        </is>
      </c>
      <c r="B8" s="282" t="inlineStr">
        <is>
          <t>Not on AP Macro</t>
        </is>
      </c>
      <c r="C8" s="282" t="inlineStr">
        <is>
          <t>-</t>
        </is>
      </c>
      <c r="D8" s="282">
        <f>COUNTIF('Year Calendar'!D:D,"Micro")</f>
        <v/>
      </c>
      <c r="E8" s="283" t="inlineStr">
        <is>
          <t>Oct 7-20, Dec 3-7, Mar 4-9</t>
        </is>
      </c>
      <c r="F8" s="282" t="inlineStr">
        <is>
          <t>Quizzes Oct 20 + Mar 9</t>
        </is>
      </c>
      <c r="G8" s="283" t="inlineStr">
        <is>
          <t>M1-M11 decks + Micro Quiz 1 and 2 (Macro/Micro Bridges) • Welfare analysis set + trade barriers.doc (Unit 1) • Micro/Unit 6 decks 6.2, 6.3, 6.5 • Taxes &amp; the Rich.ppt • market structures.pptx • prisoners dilemma.doc</t>
        </is>
      </c>
    </row>
    <row r="9" ht="23.85" customHeight="1" s="142">
      <c r="A9" s="282" t="inlineStr">
        <is>
          <t>Full review sprint</t>
        </is>
      </c>
      <c r="B9" s="282" t="inlineStr">
        <is>
          <t>-</t>
        </is>
      </c>
      <c r="C9" s="282" t="inlineStr">
        <is>
          <t>-</t>
        </is>
      </c>
      <c r="D9" s="282">
        <f>COUNTIF('Year Calendar'!D:D,"Review")</f>
        <v/>
      </c>
      <c r="E9" s="283" t="inlineStr">
        <is>
          <t>Mar 31 - Apr 15</t>
        </is>
      </c>
      <c r="F9" s="282" t="inlineStr">
        <is>
          <t>Mock Apr 8-14</t>
        </is>
      </c>
      <c r="G9" s="283" t="inlineStr">
        <is>
          <t>Master Review + Review Booklet (v4 plan) + AP Classroom question bank + graph reference</t>
        </is>
      </c>
    </row>
    <row r="10" ht="15" customHeight="1" s="142">
      <c r="A10" s="282" t="inlineStr">
        <is>
          <t>Pesach packet</t>
        </is>
      </c>
      <c r="B10" s="282" t="inlineStr">
        <is>
          <t>-</t>
        </is>
      </c>
      <c r="C10" s="282" t="inlineStr">
        <is>
          <t>-</t>
        </is>
      </c>
      <c r="D10" s="282" t="n">
        <v>0</v>
      </c>
      <c r="E10" s="283" t="inlineStr">
        <is>
          <t>Apr 18 - May 2</t>
        </is>
      </c>
      <c r="F10" s="282" t="inlineStr">
        <is>
          <t>-</t>
        </is>
      </c>
      <c r="G10" s="283" t="inlineStr">
        <is>
          <t>10 tasks x ~30 min: booklet units, 2 timed MCQ sets, graph sheet</t>
        </is>
      </c>
    </row>
    <row r="11" ht="15" customHeight="1" s="142">
      <c r="A11" s="282" t="inlineStr">
        <is>
          <t>Final sprint</t>
        </is>
      </c>
      <c r="B11" s="282" t="inlineStr">
        <is>
          <t>-</t>
        </is>
      </c>
      <c r="C11" s="282" t="inlineStr">
        <is>
          <t>-</t>
        </is>
      </c>
      <c r="D11" s="282">
        <f>COUNTIF('Year Calendar'!D:D,"Sprint")</f>
        <v/>
      </c>
      <c r="E11" s="283" t="inlineStr">
        <is>
          <t>May 3 - May 6</t>
        </is>
      </c>
      <c r="F11" s="282" t="inlineStr">
        <is>
          <t>AP EXAM Fri May 7 PM</t>
        </is>
      </c>
      <c r="G11" s="283" t="inlineStr">
        <is>
          <t>Traps list + formula sheet + dress-rehearsal FRQs</t>
        </is>
      </c>
    </row>
    <row r="12" ht="23.85" customHeight="1" s="142">
      <c r="A12" s="282" t="inlineStr">
        <is>
          <t>Post-AP: seniors out, no class</t>
        </is>
      </c>
      <c r="B12" s="282" t="inlineStr">
        <is>
          <t>-</t>
        </is>
      </c>
      <c r="C12" s="282" t="inlineStr">
        <is>
          <t>-</t>
        </is>
      </c>
      <c r="D12" s="282">
        <f>COUNTIF('Year Calendar'!D:D,"PostAP")</f>
        <v/>
      </c>
      <c r="E12" s="283" t="inlineStr">
        <is>
          <t>May 10 - Jun 3</t>
        </is>
      </c>
      <c r="F12" s="282" t="inlineStr">
        <is>
          <t>-</t>
        </is>
      </c>
      <c r="G12" s="283" t="inlineStr">
        <is>
          <t>All grading wraps by May 6. VERIFY senior final-exam policy with admin</t>
        </is>
      </c>
    </row>
    <row r="13" ht="15" customHeight="1" s="142">
      <c r="A13" s="144" t="inlineStr">
        <is>
          <t>Class meetings through May 6 (the real year)</t>
        </is>
      </c>
      <c r="D13" s="144">
        <f>SUM(D2:D11)+1</f>
        <v/>
      </c>
    </row>
    <row r="14" ht="15" customHeight="1" s="142">
      <c r="A14" s="284" t="inlineStr">
        <is>
          <t>Note: Day 1 (Sep 3) is counted in the total but not in a unit row; midterm window and post-AP days are not class meetings. Micro bridges go to the whole class but are not on the AP Macro exam.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1" min="1" max="1"/>
    <col width="44" customWidth="1" style="141" min="2" max="2"/>
    <col width="34" customWidth="1" style="141" min="3" max="3"/>
    <col width="26" customWidth="1" style="141" min="4" max="4"/>
  </cols>
  <sheetData>
    <row r="1" ht="15" customHeight="1" s="142">
      <c r="A1" s="143" t="inlineStr">
        <is>
          <t>Date</t>
        </is>
      </c>
      <c r="B1" s="143" t="inlineStr">
        <is>
          <t>Assessment</t>
        </is>
      </c>
      <c r="C1" s="143" t="inlineStr">
        <is>
          <t>Format</t>
        </is>
      </c>
      <c r="D1" s="143" t="inlineStr">
        <is>
          <t>Counts toward</t>
        </is>
      </c>
    </row>
    <row r="2" ht="15" customHeight="1" s="142">
      <c r="A2" s="285" t="n">
        <v>46268</v>
      </c>
      <c r="B2" s="283" t="inlineStr">
        <is>
          <t>Baseline diagnostic</t>
        </is>
      </c>
      <c r="C2" s="283" t="inlineStr">
        <is>
          <t>20 MCQ, untimed-ish</t>
        </is>
      </c>
      <c r="D2" s="283" t="inlineStr">
        <is>
          <t>Data only (not graded)</t>
        </is>
      </c>
    </row>
    <row r="3" ht="23.85" customHeight="1" s="142">
      <c r="A3" s="285" t="n">
        <v>46307</v>
      </c>
      <c r="B3" s="283" t="inlineStr">
        <is>
          <t>Unit 1 test (+ price ceilings &amp; floors)</t>
        </is>
      </c>
      <c r="C3" s="283" t="inlineStr">
        <is>
          <t>15 MCQ + 1 short FRQ + 3 MCQ on price controls</t>
        </is>
      </c>
      <c r="D3" s="283" t="inlineStr">
        <is>
          <t>Major</t>
        </is>
      </c>
    </row>
    <row r="4" ht="35.05" customHeight="1" s="142">
      <c r="A4" s="285" t="n">
        <v>46315</v>
      </c>
      <c r="B4" s="283" t="inlineStr">
        <is>
          <t>Micro Quiz 1: supply &amp; demand toolkit</t>
        </is>
      </c>
      <c r="C4" s="283" t="inlineStr">
        <is>
          <t>About 12 MCQ + 1 graph: price controls, surplus &amp; DWL, elasticity, taxes, tariffs</t>
        </is>
      </c>
      <c r="D4" s="283" t="inlineStr">
        <is>
          <t>Minor</t>
        </is>
      </c>
    </row>
    <row r="5" ht="23.85" customHeight="1" s="142">
      <c r="A5" s="285" t="n">
        <v>46335</v>
      </c>
      <c r="B5" s="283" t="inlineStr">
        <is>
          <t>Unit 2 test</t>
        </is>
      </c>
      <c r="C5" s="283" t="inlineStr">
        <is>
          <t>18 MCQ + 1 short FRQ + 3 micro MCQ (spaced review)</t>
        </is>
      </c>
      <c r="D5" s="283" t="inlineStr">
        <is>
          <t>Major</t>
        </is>
      </c>
    </row>
    <row r="6" ht="23.85" customHeight="1" s="142">
      <c r="A6" s="285" t="n">
        <v>46371</v>
      </c>
      <c r="B6" s="283" t="inlineStr">
        <is>
          <t>Unit 3 test day 1</t>
        </is>
      </c>
      <c r="C6" s="283" t="inlineStr">
        <is>
          <t>25 MCQ (incl. 3 micro: externalities, public goods, inequality)</t>
        </is>
      </c>
      <c r="D6" s="283" t="inlineStr">
        <is>
          <t>Major</t>
        </is>
      </c>
    </row>
    <row r="7" ht="15" customHeight="1" s="142">
      <c r="A7" s="285" t="n">
        <v>46372</v>
      </c>
      <c r="B7" s="283" t="inlineStr">
        <is>
          <t>Unit 3 test day 2</t>
        </is>
      </c>
      <c r="C7" s="283" t="inlineStr">
        <is>
          <t>1 long FRQ</t>
        </is>
      </c>
      <c r="D7" s="283" t="inlineStr">
        <is>
          <t>Major</t>
        </is>
      </c>
    </row>
    <row r="8" ht="15" customHeight="1" s="142">
      <c r="A8" s="285" t="n">
        <v>46380</v>
      </c>
      <c r="B8" s="283" t="inlineStr">
        <is>
          <t>Unit 4 checkpoint</t>
        </is>
      </c>
      <c r="C8" s="283" t="inlineStr">
        <is>
          <t>10 MCQ (4.1-4.3)</t>
        </is>
      </c>
      <c r="D8" s="283" t="inlineStr">
        <is>
          <t>Minor</t>
        </is>
      </c>
    </row>
    <row r="9" ht="15" customHeight="1" s="142">
      <c r="A9" s="285" t="n">
        <v>46399</v>
      </c>
      <c r="B9" s="283" t="inlineStr">
        <is>
          <t>Unit 4 quiz</t>
        </is>
      </c>
      <c r="C9" s="283" t="inlineStr">
        <is>
          <t>12 MCQ + FRQ part</t>
        </is>
      </c>
      <c r="D9" s="283" t="inlineStr">
        <is>
          <t>Minor</t>
        </is>
      </c>
    </row>
    <row r="10" ht="23.85" customHeight="1" s="142">
      <c r="A10" s="285" t="n">
        <v>46401</v>
      </c>
      <c r="B10" s="283" t="inlineStr">
        <is>
          <t>MIDTERM (school exam window Jan 14-19)</t>
        </is>
      </c>
      <c r="C10" s="283" t="inlineStr">
        <is>
          <t>45 MCQ + 1 long + 1 short (Units 1-4 mock AP)</t>
        </is>
      </c>
      <c r="D10" s="283" t="inlineStr">
        <is>
          <t>Exam grade</t>
        </is>
      </c>
    </row>
    <row r="11" ht="15" customHeight="1" s="142">
      <c r="A11" s="285" t="n">
        <v>46429</v>
      </c>
      <c r="B11" s="283" t="inlineStr">
        <is>
          <t>Unit 5 quiz (5.1-5.3)</t>
        </is>
      </c>
      <c r="C11" s="283" t="inlineStr">
        <is>
          <t>10 MCQ + FRQ mini</t>
        </is>
      </c>
      <c r="D11" s="283" t="inlineStr">
        <is>
          <t>Minor</t>
        </is>
      </c>
    </row>
    <row r="12" ht="15" customHeight="1" s="142">
      <c r="A12" s="285" t="n">
        <v>46447</v>
      </c>
      <c r="B12" s="283" t="inlineStr">
        <is>
          <t>Unit 5 test day 1</t>
        </is>
      </c>
      <c r="C12" s="283" t="inlineStr">
        <is>
          <t>20 MCQ</t>
        </is>
      </c>
      <c r="D12" s="283" t="inlineStr">
        <is>
          <t>Major</t>
        </is>
      </c>
    </row>
    <row r="13" ht="15" customHeight="1" s="142">
      <c r="A13" s="285" t="n">
        <v>46448</v>
      </c>
      <c r="B13" s="283" t="inlineStr">
        <is>
          <t>Unit 5 test day 2</t>
        </is>
      </c>
      <c r="C13" s="283" t="inlineStr">
        <is>
          <t>1 long FRQ</t>
        </is>
      </c>
      <c r="D13" s="283" t="inlineStr">
        <is>
          <t>Major</t>
        </is>
      </c>
    </row>
    <row r="14" ht="23.85" customHeight="1" s="142">
      <c r="A14" s="285" t="n">
        <v>46455</v>
      </c>
      <c r="B14" s="283" t="inlineStr">
        <is>
          <t>Micro Quiz 2: types of competition</t>
        </is>
      </c>
      <c r="C14" s="283" t="inlineStr">
        <is>
          <t>About 10 MCQ: 4 market structures, monopoly, game theory</t>
        </is>
      </c>
      <c r="D14" s="283" t="inlineStr">
        <is>
          <t>Minor</t>
        </is>
      </c>
    </row>
    <row r="15" ht="23.85" customHeight="1" s="142">
      <c r="A15" s="285" t="n">
        <v>46476</v>
      </c>
      <c r="B15" s="283" t="inlineStr">
        <is>
          <t>Unit 6 test</t>
        </is>
      </c>
      <c r="C15" s="283" t="inlineStr">
        <is>
          <t>15 MCQ + 1 short FRQ + 2 MCQ on tariffs</t>
        </is>
      </c>
      <c r="D15" s="283" t="inlineStr">
        <is>
          <t>Major</t>
        </is>
      </c>
    </row>
    <row r="16" ht="15" customHeight="1" s="142">
      <c r="A16" s="285" t="n">
        <v>46485</v>
      </c>
      <c r="B16" s="283" t="inlineStr">
        <is>
          <t>Mock exam MCQ half 1</t>
        </is>
      </c>
      <c r="C16" s="283" t="inlineStr">
        <is>
          <t>30 MCQ / 35 min</t>
        </is>
      </c>
      <c r="D16" s="283" t="inlineStr">
        <is>
          <t>Q4 grade: effort + data</t>
        </is>
      </c>
    </row>
    <row r="17" ht="15" customHeight="1" s="142">
      <c r="A17" s="285" t="n">
        <v>46489</v>
      </c>
      <c r="B17" s="283" t="inlineStr">
        <is>
          <t>Mock exam MCQ half 2</t>
        </is>
      </c>
      <c r="C17" s="283" t="inlineStr">
        <is>
          <t>30 MCQ / 35 min</t>
        </is>
      </c>
      <c r="D17" s="283" t="inlineStr">
        <is>
          <t>Q4 grade: effort + data</t>
        </is>
      </c>
    </row>
    <row r="18" ht="15" customHeight="1" s="142">
      <c r="A18" s="285" t="n">
        <v>46490</v>
      </c>
      <c r="B18" s="283" t="inlineStr">
        <is>
          <t>Mock long FRQ</t>
        </is>
      </c>
      <c r="C18" s="283" t="inlineStr">
        <is>
          <t>timed 25 min</t>
        </is>
      </c>
      <c r="D18" s="283" t="inlineStr">
        <is>
          <t>Q4 grade</t>
        </is>
      </c>
    </row>
    <row r="19" ht="15" customHeight="1" s="142">
      <c r="A19" s="285" t="n">
        <v>46491</v>
      </c>
      <c r="B19" s="283" t="inlineStr">
        <is>
          <t>Mock short FRQs</t>
        </is>
      </c>
      <c r="C19" s="283" t="inlineStr">
        <is>
          <t>2 x 12 min</t>
        </is>
      </c>
      <c r="D19" s="283" t="inlineStr">
        <is>
          <t>Q4 grade</t>
        </is>
      </c>
    </row>
    <row r="20" ht="15" customHeight="1" s="142">
      <c r="A20" s="285" t="n">
        <v>46514</v>
      </c>
      <c r="B20" s="283" t="inlineStr">
        <is>
          <t>AP MACROECONOMICS EXAM - Friday PM</t>
        </is>
      </c>
      <c r="C20" s="283" t="inlineStr">
        <is>
          <t>60 MCQ/70 min + 3 FRQ/60 min</t>
        </is>
      </c>
      <c r="D20" s="283" t="inlineStr">
        <is>
          <t>The real thing</t>
        </is>
      </c>
    </row>
    <row r="21" ht="15" customHeight="1" s="142">
      <c r="A21" s="283" t="inlineStr">
        <is>
          <t>Weekly</t>
        </is>
      </c>
      <c r="B21" s="283" t="inlineStr">
        <is>
          <t>Wed micro-set: 6 AP Classroom topic MCQs</t>
        </is>
      </c>
      <c r="C21" s="283" t="inlineStr">
        <is>
          <t>6 Q / 8 min</t>
        </is>
      </c>
      <c r="D21" s="283" t="inlineStr">
        <is>
          <t>Formative tracker</t>
        </is>
      </c>
    </row>
    <row r="22" ht="15" customHeight="1" s="142">
      <c r="A22" s="283" t="inlineStr">
        <is>
          <t>Weekly</t>
        </is>
      </c>
      <c r="B22" s="283" t="inlineStr">
        <is>
          <t>Thu alternating: timed FRQ part &lt;-&gt; review game</t>
        </is>
      </c>
      <c r="C22" s="283" t="inlineStr">
        <is>
          <t>varies</t>
        </is>
      </c>
      <c r="D22" s="283" t="inlineStr">
        <is>
          <t>Formative</t>
        </is>
      </c>
    </row>
    <row r="23" ht="15" customHeight="1" s="142">
      <c r="A23" s="283" t="inlineStr">
        <is>
          <t>Daily</t>
        </is>
      </c>
      <c r="B23" s="283" t="inlineStr">
        <is>
          <t>Do Now retrieval (2 old + 1 current topic)</t>
        </is>
      </c>
      <c r="C23" s="283" t="inlineStr">
        <is>
          <t>4 min</t>
        </is>
      </c>
      <c r="D23" s="283" t="inlineStr">
        <is>
          <t>Formative</t>
        </is>
      </c>
    </row>
    <row r="24" ht="23.85" customHeight="1" s="142">
      <c r="A24" s="283" t="inlineStr">
        <is>
          <t>NOTE</t>
        </is>
      </c>
      <c r="B24" s="283" t="inlineStr">
        <is>
          <t>Seniors do not attend after the AP exam</t>
        </is>
      </c>
      <c r="C24" s="283" t="inlineStr">
        <is>
          <t>All Q4 grades must be complete by May 6</t>
        </is>
      </c>
      <c r="D24" s="283" t="inlineStr">
        <is>
          <t>Plan Q4 around mock + FRQ log + sprint work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41" min="1" max="1"/>
    <col width="52" customWidth="1" style="141" min="2" max="2"/>
    <col width="64" customWidth="1" style="141" min="3" max="3"/>
  </cols>
  <sheetData>
    <row r="1" ht="15" customHeight="1" s="142">
      <c r="A1" s="286" t="inlineStr">
        <is>
          <t>YOU HAVE 7 SICK DAYS - THE MATH</t>
        </is>
      </c>
      <c r="B1" s="287" t="n"/>
      <c r="C1" s="287" t="n"/>
    </row>
    <row r="2" ht="23.85" customHeight="1" s="142">
      <c r="A2" s="288" t="inlineStr">
        <is>
          <t>33 GREEN days</t>
        </is>
      </c>
      <c r="B2" s="288" t="inlineStr">
        <is>
          <t>Drills, games, quizzes, most review days - a sub + kit runs these at ~90% value</t>
        </is>
      </c>
      <c r="C2" s="288" t="inlineStr">
        <is>
          <t>If a sick day must happen, these are free-ish. 5 in U1, 1 in Micro, 1 in U2, 5 in U3, 6 in U4, 7 in U5, 4 in U6, 4 in Review</t>
        </is>
      </c>
    </row>
    <row r="3" ht="23.85" customHeight="1" s="142">
      <c r="A3" s="288" t="inlineStr">
        <is>
          <t>64 YELLOW days</t>
        </is>
      </c>
      <c r="B3" s="288" t="inlineStr">
        <is>
          <t>New-content days + debrief days - sub-able with a kit, but the content moves</t>
        </is>
      </c>
      <c r="C3" s="288" t="inlineStr">
        <is>
          <t>Re-sync rule: the NEXT green day in that unit becomes the missed lesson; the kit already covered the practice</t>
        </is>
      </c>
    </row>
    <row r="4" ht="23.85" customHeight="1" s="142">
      <c r="A4" s="288" t="inlineStr">
        <is>
          <t>17 RED days</t>
        </is>
      </c>
      <c r="B4" s="288" t="inlineStr">
        <is>
          <t>Day 1, all 7 unit-test days, 4 mock days, Mar 31 review kickoff, May 3-6 sprint</t>
        </is>
      </c>
      <c r="C4" s="288" t="inlineStr">
        <is>
          <t>Never burn a sick day here by choice. If illness forces it: test slides exactly +1 day, mock shifts within its week</t>
        </is>
      </c>
    </row>
    <row r="5" ht="15" customHeight="1" s="142">
      <c r="A5" s="288" t="inlineStr">
        <is>
          <t>16 FREE days</t>
        </is>
      </c>
      <c r="B5" s="288" t="inlineStr">
        <is>
          <t>May 10 - Jun 3: seniors are gone after the AP exam</t>
        </is>
      </c>
      <c r="C5" s="288" t="inlineStr">
        <is>
          <t>A sick day after May 7 costs this course nothing</t>
        </is>
      </c>
    </row>
    <row r="6" ht="35.05" customHeight="1" s="142">
      <c r="A6" s="288" t="inlineStr">
        <is>
          <t>Worst-case coverage</t>
        </is>
      </c>
      <c r="B6" s="288" t="inlineStr">
        <is>
          <t>7 sick days vs 33 green absorbers</t>
        </is>
      </c>
      <c r="C6" s="288" t="inlineStr">
        <is>
          <t>Thin spots now: Unit 2 has 1 green day (Nov 5) and the micro blocks have 1 (Oct 20). Miss a lesson there and the review day becomes the lesson; the test can slide +1. Units 3-6 still have spare green days.</t>
        </is>
      </c>
    </row>
    <row r="7" ht="15" customHeight="1" s="142"/>
    <row r="8" ht="15" customHeight="1" s="142">
      <c r="A8" s="289" t="inlineStr">
        <is>
          <t>THE 4 RULES</t>
        </is>
      </c>
      <c r="B8" s="290" t="n"/>
      <c r="C8" s="290" t="n"/>
    </row>
    <row r="9" ht="15" customHeight="1" s="142">
      <c r="A9" s="288" t="inlineStr">
        <is>
          <t>1. Green day missed</t>
        </is>
      </c>
      <c r="B9" s="288" t="inlineStr">
        <is>
          <t>Nothing to reschedule</t>
        </is>
      </c>
      <c r="C9" s="288" t="inlineStr">
        <is>
          <t>Kit replaced the drill/game. Move on.</t>
        </is>
      </c>
    </row>
    <row r="10" ht="23.85" customHeight="1" s="142">
      <c r="A10" s="288" t="inlineStr">
        <is>
          <t>2. Yellow day missed</t>
        </is>
      </c>
      <c r="B10" s="288" t="inlineStr">
        <is>
          <t>Convert the next green day in that unit to the missed content</t>
        </is>
      </c>
      <c r="C10" s="288" t="inlineStr">
        <is>
          <t>Practice the kit already delivered; drill moves into Do-Nows that week</t>
        </is>
      </c>
    </row>
    <row r="11" ht="23.85" customHeight="1" s="142">
      <c r="A11" s="288" t="inlineStr">
        <is>
          <t>3. Two+ missed in one unit</t>
        </is>
      </c>
      <c r="B11" s="288" t="inlineStr">
        <is>
          <t>Also fold the unit review day into the test-day warm-up; test slides max +1 day</t>
        </is>
      </c>
      <c r="C11" s="288" t="inlineStr">
        <is>
          <t>Tests are anchored to dates, not lesson counts - downstream stays intact</t>
        </is>
      </c>
    </row>
    <row r="12" ht="23.85" customHeight="1" s="142">
      <c r="A12" s="288" t="inlineStr">
        <is>
          <t>4. Red day threatened</t>
        </is>
      </c>
      <c r="B12" s="288" t="inlineStr">
        <is>
          <t>Swap with the adjacent day; tests move at most +1; mocks shift within their week; May 3-6 never moves</t>
        </is>
      </c>
      <c r="C12" s="288" t="inlineStr">
        <is>
          <t>Text/Schoology the class from bed; the kit is already printed in the sub folder</t>
        </is>
      </c>
    </row>
    <row r="13" ht="15" customHeight="1" s="142"/>
    <row r="14" ht="15" customHeight="1" s="142">
      <c r="A14" s="291" t="inlineStr">
        <is>
          <t>7 SUB KITS - PRINT ONCE, TEACH THEMSELVES (38-min script: 5 min Do-Now retrieval sheet / 20 min packet / 8 min self-check vs key / 5 min exit slip; sub collects all)</t>
        </is>
      </c>
      <c r="B14" s="292" t="n"/>
      <c r="C14" s="292" t="n"/>
    </row>
    <row r="15" ht="48.6" customHeight="1" s="142">
      <c r="A15" s="288" t="inlineStr">
        <is>
          <t>KIT 1 - Unit 1 + micro toolkit window (Sep 3 - Oct 20)</t>
        </is>
      </c>
      <c r="B15" s="288" t="inlineStr">
        <is>
          <t>PPC &amp; Trade drill pack</t>
        </is>
      </c>
      <c r="C15" s="288" t="inlineStr">
        <is>
          <t>Print: Macro/Unit 1/10_Production_Possibilities.pdf + 23_Comparative_Advantage.pdf + 10 items from "basic economic concepts multiple choice questions.doc" + answer key page • for Oct 13-20: 10 items from "welfare analysis multiple choice.docx"</t>
        </is>
      </c>
    </row>
    <row r="16" ht="35.05" customHeight="1" s="142">
      <c r="A16" s="288" t="inlineStr">
        <is>
          <t>KIT 2 - Unit 2 window (Oct 21 - Nov 10)</t>
        </is>
      </c>
      <c r="B16" s="288" t="inlineStr">
        <is>
          <t>Indicators lab</t>
        </is>
      </c>
      <c r="C16" s="288" t="inlineStr">
        <is>
          <t>Print: "Counted or not counted in GDP.doc" + calc problems from 08_CPI_and_GDP_Deflator.pdf + 09_Unemployment.pdf + 10 items from "gdp mc.doc"</t>
        </is>
      </c>
    </row>
    <row r="17" ht="35.05" customHeight="1" s="142">
      <c r="A17" s="288" t="inlineStr">
        <is>
          <t>KIT 3 - Unit 3 window (Nov 11 - Dec 16, incl. Dec 3 &amp; 7 micro days)</t>
        </is>
      </c>
      <c r="B17" s="288" t="inlineStr">
        <is>
          <t>AD-AS scenario gauntlet</t>
        </is>
      </c>
      <c r="C17" s="288" t="inlineStr">
        <is>
          <t>Print: "spending, multiplier, change in ad.docx" + Kunming "19 AS AD Practice.pdf" + 10 items from "unit 3 mc.docx"</t>
        </is>
      </c>
    </row>
    <row r="18" ht="35.05" customHeight="1" s="142">
      <c r="A18" s="288" t="inlineStr">
        <is>
          <t>KIT 4 - Unit 4 window (Dec 17 - Jan 12)</t>
        </is>
      </c>
      <c r="B18" s="288" t="inlineStr">
        <is>
          <t>Money &amp; banking problem set</t>
        </is>
      </c>
      <c r="C18" s="288" t="inlineStr">
        <is>
          <t>Print: 19_Bank_Balance_Sheets.pdf + Kunming "11 Money Market practice.pdf" + Fisher problems from 07_Fisher_Formula.pdf + "How Monetary Policy Affects Bank Reserves.doc"</t>
        </is>
      </c>
    </row>
    <row r="19" ht="48.6" customHeight="1" s="142">
      <c r="A19" s="288" t="inlineStr">
        <is>
          <t>KIT 5 - Unit 5 + competition window (Feb 1 - Mar 9)</t>
        </is>
      </c>
      <c r="B19" s="288" t="inlineStr">
        <is>
          <t>Policy mix &amp; Phillips</t>
        </is>
      </c>
      <c r="C19" s="288" t="inlineStr">
        <is>
          <t>Print: "discretionary fiscal policy chart.pdf" + "monetary policy chart.pdf" + 10 items from "phillips curve mc.doc" + "policy mix and budget mc.docx" • for Mar 4-9: 10 items from "market structure mc questions.doc"</t>
        </is>
      </c>
    </row>
    <row r="20" ht="35.05" customHeight="1" s="142">
      <c r="A20" s="288" t="inlineStr">
        <is>
          <t>KIT 6 - Unit 6 window (Mar 10 - 30)</t>
        </is>
      </c>
      <c r="B20" s="288" t="inlineStr">
        <is>
          <t>FOREX chains</t>
        </is>
      </c>
      <c r="C20" s="288" t="inlineStr">
        <is>
          <t>Print: Kunming "12 FOREX market.pdf" + 10 items from "international mc.doc" + balance-of-payments classification practice from "balance of payments.doc"</t>
        </is>
      </c>
    </row>
    <row r="21" ht="35.05" customHeight="1" s="142">
      <c r="A21" s="288" t="inlineStr">
        <is>
          <t>KIT 7 - Anytime after Dec 1 + all of review</t>
        </is>
      </c>
      <c r="B21" s="288" t="inlineStr">
        <is>
          <t>Released FRQ self-score</t>
        </is>
      </c>
      <c r="C21" s="288" t="inlineStr">
        <is>
          <t>Print: one released FRQ (2004 or 2005 Q1 from Unit 4 folder, or ap05_frq_macro_b.pdf) + its rubric. Students write timed 25 min, self-score vs rubric, log errors (TEST MISTAKES protocol)</t>
        </is>
      </c>
    </row>
    <row r="22" ht="15" customHeight="1" s="142"/>
    <row r="23" ht="15" customHeight="1" s="142">
      <c r="A23" s="293" t="inlineStr">
        <is>
          <t>LOGISTICS</t>
        </is>
      </c>
      <c r="B23" s="294" t="n"/>
      <c r="C23" s="294" t="n"/>
    </row>
    <row r="24" ht="35.05" customHeight="1" s="142">
      <c r="A24" s="288" t="inlineStr">
        <is>
          <t>The sub folder</t>
        </is>
      </c>
      <c r="B24" s="288" t="inlineStr">
        <is>
          <t>Physical folder on your desk + PDFs pinned in Schoology</t>
        </is>
      </c>
      <c r="C24" s="288" t="inlineStr">
        <is>
          <t>Cover sheet per kit: routine script, timing, "collect everything at the bell". Kits 1-3 printed by Sep 15; Kits 4-5 by Dec 15 (flu season lands exactly in the Unit 4 window); Kits 6-7 by Feb 15</t>
        </is>
      </c>
    </row>
    <row r="25" ht="23.85" customHeight="1" s="142">
      <c r="A25" s="288" t="inlineStr">
        <is>
          <t>From bed, 2 minutes</t>
        </is>
      </c>
      <c r="B25" s="288" t="inlineStr">
        <is>
          <t>Post to Schoology: "Kit N today - sub has packets"</t>
        </is>
      </c>
      <c r="C25" s="288" t="inlineStr">
        <is>
          <t>Sub never needs to know economics; every kit self-checks against a printed key</t>
        </is>
      </c>
    </row>
    <row r="26" ht="35.05" customHeight="1" s="142">
      <c r="A26" s="288" t="inlineStr">
        <is>
          <t>Spending them by choice</t>
        </is>
      </c>
      <c r="B26" s="288" t="inlineStr">
        <is>
          <t>Cheapest: any FREE day after May 7, then the short at-risk days (Nov 24, Dec 2, Mar 22, Mar 29) and green game days (Dec 9, Feb 10)</t>
        </is>
      </c>
      <c r="C26" s="288" t="inlineStr">
        <is>
          <t>Most expensive: anything red, then content days in Unit 2 and the micro blocks (fewest absorbers)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1" min="1" max="1"/>
    <col width="42" customWidth="1" style="141" min="2" max="2"/>
    <col width="70" customWidth="1" style="141" min="3" max="3"/>
  </cols>
  <sheetData>
    <row r="1" ht="15" customHeight="1" s="142">
      <c r="A1" s="295" t="inlineStr">
        <is>
          <t>Date</t>
        </is>
      </c>
      <c r="B1" s="295" t="inlineStr">
        <is>
          <t>Item</t>
        </is>
      </c>
      <c r="C1" s="295" t="inlineStr">
        <is>
          <t>Why it matters / action</t>
        </is>
      </c>
    </row>
    <row r="2" ht="23.85" customHeight="1" s="142">
      <c r="A2" s="283" t="inlineStr">
        <is>
          <t>Sep 14 2026</t>
        </is>
      </c>
      <c r="B2" s="283" t="inlineStr">
        <is>
          <t>Tzom Gedalia, 1:30 dismissal</t>
        </is>
      </c>
      <c r="C2" s="283" t="inlineStr">
        <is>
          <t>If your period falls after dismissal you lose it - plan says low-stakes drill, easily skipped</t>
        </is>
      </c>
    </row>
    <row r="3" ht="23.85" customHeight="1" s="142">
      <c r="A3" s="283" t="inlineStr">
        <is>
          <t>Oct 12 2026</t>
        </is>
      </c>
      <c r="B3" s="283" t="inlineStr">
        <is>
          <t>Columbus Day, no district transportation - UNIT 1 TEST day</t>
        </is>
      </c>
      <c r="C3" s="283" t="inlineStr">
        <is>
          <t>Some students may not have a ride. Have make-up seats ready for Oct 13-14.</t>
        </is>
      </c>
    </row>
    <row r="4" ht="23.85" customHeight="1" s="142">
      <c r="A4" s="283" t="inlineStr">
        <is>
          <t>Oct 21 2026</t>
        </is>
      </c>
      <c r="B4" s="283" t="inlineStr">
        <is>
          <t>PSAT</t>
        </is>
      </c>
      <c r="C4" s="283" t="inlineStr">
        <is>
          <t>Class is all seniors, so the PSAT should not matter. Plan has 2.1 circular flow here.</t>
        </is>
      </c>
    </row>
    <row r="5" ht="23.85" customHeight="1" s="142">
      <c r="A5" s="283" t="inlineStr">
        <is>
          <t>Nov 11 2026</t>
        </is>
      </c>
      <c r="B5" s="283" t="inlineStr">
        <is>
          <t>Veterans Day, no district transportation</t>
        </is>
      </c>
      <c r="C5" s="283" t="inlineStr">
        <is>
          <t>3.1 Aggregate demand is new content today. Post the slides on Schoology for anyone who cannot get in.</t>
        </is>
      </c>
    </row>
    <row r="6" ht="15" customHeight="1" s="142">
      <c r="A6" s="283" t="inlineStr">
        <is>
          <t>Nov 24 2026</t>
        </is>
      </c>
      <c r="B6" s="283" t="inlineStr">
        <is>
          <t>P-T conferences, 3:30 dismissal</t>
        </is>
      </c>
      <c r="C6" s="283" t="inlineStr">
        <is>
          <t>At-risk afternoon period - plan has a graph drill + relay, not new content</t>
        </is>
      </c>
    </row>
    <row r="7" ht="15" customHeight="1" s="142">
      <c r="A7" s="283" t="inlineStr">
        <is>
          <t>Dec 2 2026</t>
        </is>
      </c>
      <c r="B7" s="283" t="inlineStr">
        <is>
          <t>P-T conferences, 3:30 dismissal</t>
        </is>
      </c>
      <c r="C7" s="283" t="inlineStr">
        <is>
          <t>Same - fiscal + multiplier practice problems (missable)</t>
        </is>
      </c>
    </row>
    <row r="8" ht="23.85" customHeight="1" s="142">
      <c r="A8" s="283" t="inlineStr">
        <is>
          <t>Dec 6 2026</t>
        </is>
      </c>
      <c r="B8" s="283" t="inlineStr">
        <is>
          <t>Chanukah break shown only as Sun Dec 6 on the website</t>
        </is>
      </c>
      <c r="C8" s="283" t="inlineStr">
        <is>
          <t>VERIFY the printed school calendar - if break is longer, Unit 4 start shifts</t>
        </is>
      </c>
    </row>
    <row r="9" ht="15" customHeight="1" s="142">
      <c r="A9" s="283" t="inlineStr">
        <is>
          <t>Jan 20 2027</t>
        </is>
      </c>
      <c r="B9" s="283" t="inlineStr">
        <is>
          <t>Day between finals and intersession</t>
        </is>
      </c>
      <c r="C9" s="283" t="inlineStr">
        <is>
          <t>Assumed no regular classes - VERIFY</t>
        </is>
      </c>
    </row>
    <row r="10" ht="23.85" customHeight="1" s="142">
      <c r="A10" s="283" t="inlineStr">
        <is>
          <t>Feb 15 2027</t>
        </is>
      </c>
      <c r="B10" s="283" t="inlineStr">
        <is>
          <t>Presidents Day Monday</t>
        </is>
      </c>
      <c r="C10" s="283" t="inlineStr">
        <is>
          <t>Website says "Presidents' Weekend - No Sessions" starting Sun Feb 14; plan assumes Mon Feb 15 OFF - VERIFY</t>
        </is>
      </c>
    </row>
    <row r="11" ht="15" customHeight="1" s="142">
      <c r="A11" s="283" t="inlineStr">
        <is>
          <t>Mar 22 2027</t>
        </is>
      </c>
      <c r="B11" s="283" t="inlineStr">
        <is>
          <t>Ta'anit Esther, 1:30 dismissal</t>
        </is>
      </c>
      <c r="C11" s="283" t="inlineStr">
        <is>
          <t>Plan schedules FOREX game, not content</t>
        </is>
      </c>
    </row>
    <row r="12" ht="15" customHeight="1" s="142">
      <c r="A12" s="283" t="inlineStr">
        <is>
          <t>Mar 29 2027</t>
        </is>
      </c>
      <c r="B12" s="283" t="inlineStr">
        <is>
          <t>P-T conferences, 3:30 dismissal</t>
        </is>
      </c>
      <c r="C12" s="283" t="inlineStr">
        <is>
          <t>Unit 6 review game (missable). The Unit 6 test is the next day, Mar 30.</t>
        </is>
      </c>
    </row>
    <row r="13" ht="23.85" customHeight="1" s="142">
      <c r="A13" s="283" t="inlineStr">
        <is>
          <t>May 4 2027</t>
        </is>
      </c>
      <c r="B13" s="283" t="inlineStr">
        <is>
          <t>AP MICRO EXAM (Tue PM)</t>
        </is>
      </c>
      <c r="C13" s="283" t="inlineStr">
        <is>
          <t>Any of your volunteers taking Micro test THIS day - their prep must finish before Pesach</t>
        </is>
      </c>
    </row>
    <row r="14" ht="23.85" customHeight="1" s="142">
      <c r="A14" s="283" t="inlineStr">
        <is>
          <t>May 6 2027</t>
        </is>
      </c>
      <c r="B14" s="283" t="inlineStr">
        <is>
          <t>LAST REAL CLASS DAY - seniors leave after the exam</t>
        </is>
      </c>
      <c r="C14" s="283" t="inlineStr">
        <is>
          <t>Every grade, every goodbye, every return of work happens by May 6</t>
        </is>
      </c>
    </row>
    <row r="15" ht="23.85" customHeight="1" s="142">
      <c r="A15" s="283" t="inlineStr">
        <is>
          <t>May-Jun 2027</t>
        </is>
      </c>
      <c r="B15" s="283" t="inlineStr">
        <is>
          <t>Senior final-exam policy</t>
        </is>
      </c>
      <c r="C15" s="283" t="inlineStr">
        <is>
          <t>Seniors are out post-AP: VERIFY with admin whether AP seniors sit a June final or the mock/Q4 work stands in</t>
        </is>
      </c>
    </row>
    <row r="16" ht="15" customHeight="1" s="142">
      <c r="A16" s="283" t="inlineStr">
        <is>
          <t>Jun 3 2027</t>
        </is>
      </c>
      <c r="B16" s="283" t="inlineStr">
        <is>
          <t>Senior Trip departs / last day of classes</t>
        </is>
      </c>
      <c r="C16" s="283" t="inlineStr">
        <is>
          <t>Not relevant to this course anymore - seniors already done</t>
        </is>
      </c>
    </row>
    <row r="17" ht="23.85" customHeight="1" s="142">
      <c r="A17" s="283" t="inlineStr">
        <is>
          <t>Nov 2026</t>
        </is>
      </c>
      <c r="B17" s="283" t="inlineStr">
        <is>
          <t>AP exam ordering</t>
        </is>
      </c>
      <c r="C17" s="283" t="inlineStr">
        <is>
          <t>School AP coordinator final ordering deadline is mid-November - confirm all students registered in My AP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41" min="1" max="1"/>
    <col width="52" customWidth="1" style="141" min="2" max="2"/>
    <col width="60" customWidth="1" style="141" min="3" max="3"/>
  </cols>
  <sheetData>
    <row r="1" ht="15" customHeight="1" s="142">
      <c r="A1" s="296" t="inlineStr">
        <is>
          <t>When</t>
        </is>
      </c>
      <c r="B1" s="296" t="inlineStr">
        <is>
          <t>Focus</t>
        </is>
      </c>
      <c r="C1" s="296" t="inlineStr">
        <is>
          <t>Materials you already own</t>
        </is>
      </c>
    </row>
    <row r="2" ht="48.6" customHeight="1" s="142">
      <c r="A2" s="283" t="inlineStr">
        <is>
          <t>Sep-Oct</t>
        </is>
      </c>
      <c r="B2" s="283" t="inlineStr">
        <is>
          <t>Covered in class for everyone: scarcity, PPC, comparative advantage, supply &amp; demand (Sep-Oct) + micro toolkit Oct 7-20: price controls, surplus &amp; DWL, price elasticity, taxes, tariffs</t>
        </is>
      </c>
      <c r="C2" s="283" t="inlineStr">
        <is>
          <t>Unit 1 decks + micro toolkit lessons; micro overlap is automatic</t>
        </is>
      </c>
    </row>
    <row r="3" ht="23.85" customHeight="1" s="142">
      <c r="A3" s="283" t="inlineStr">
        <is>
          <t>Oct (opt-in meeting 1)</t>
        </is>
      </c>
      <c r="B3" s="283" t="inlineStr">
        <is>
          <t>Other elasticities (income, cross-price, supply) + consumer choice (not in class)</t>
        </is>
      </c>
      <c r="C3" s="283" t="inlineStr">
        <is>
          <t>AP_Micro_Master_Review; Micro_Units_1-3_Study_Guide_BW.pdf</t>
        </is>
      </c>
    </row>
    <row r="4" ht="23.85" customHeight="1" s="142">
      <c r="A4" s="283" t="inlineStr">
        <is>
          <t>Dec (meeting 2)</t>
        </is>
      </c>
      <c r="B4" s="283" t="inlineStr">
        <is>
          <t>Production &amp; costs; perfect competition</t>
        </is>
      </c>
      <c r="C4" s="283" t="inlineStr">
        <is>
          <t>Mapping the Production Function (ppt + activity); production function MC/FRQ sets</t>
        </is>
      </c>
    </row>
    <row r="5" ht="23.85" customHeight="1" s="142">
      <c r="A5" s="283" t="inlineStr">
        <is>
          <t>Feb (meeting 3)</t>
        </is>
      </c>
      <c r="B5" s="283" t="inlineStr">
        <is>
          <t>Imperfect competition GRAPHS: monopoly, oligopoly, monopolistic comp. (class gets the ideas Mar 4-9)</t>
        </is>
      </c>
      <c r="C5" s="283" t="inlineStr">
        <is>
          <t>Unit 4 cheat sheets (monopoly, price discrimination, natural monopoly, Nash); market structures.pptx</t>
        </is>
      </c>
    </row>
    <row r="6" ht="23.85" customHeight="1" s="142">
      <c r="A6" s="283" t="inlineStr">
        <is>
          <t>Mar (meeting 4)</t>
        </is>
      </c>
      <c r="B6" s="283" t="inlineStr">
        <is>
          <t>Factor markets + market failure graphs (class gets externalities, public goods, inequality Dec 3-7)</t>
        </is>
      </c>
      <c r="C6" s="283" t="inlineStr">
        <is>
          <t>Micro Topic 5.1-5.4 + 6.1-6.5 decks; factor market FRQs</t>
        </is>
      </c>
    </row>
    <row r="7" ht="23.85" customHeight="1" s="142">
      <c r="A7" s="283" t="inlineStr">
        <is>
          <t>Apr 1-16</t>
        </is>
      </c>
      <c r="B7" s="283" t="inlineStr">
        <is>
          <t>Full micro review alongside class macro review</t>
        </is>
      </c>
      <c r="C7" s="283" t="inlineStr">
        <is>
          <t>day 1-4 micro review docs; Micro Cue Cards; ap-micro-drills.zip; TEST HINTS--Micro</t>
        </is>
      </c>
    </row>
    <row r="8" ht="15" customHeight="1" s="142">
      <c r="A8" s="283" t="inlineStr">
        <is>
          <t>Pesach</t>
        </is>
      </c>
      <c r="B8" s="283" t="inlineStr">
        <is>
          <t>Micro half of the packet for volunteers</t>
        </is>
      </c>
      <c r="C8" s="283" t="inlineStr">
        <is>
          <t>AP_Micro_Master_Review_TRIMMED.pdf + 1 timed released MCQ set</t>
        </is>
      </c>
    </row>
    <row r="9" ht="15" customHeight="1" s="142">
      <c r="A9" s="283" t="inlineStr">
        <is>
          <t>May 3</t>
        </is>
      </c>
      <c r="B9" s="283" t="inlineStr">
        <is>
          <t>Last-day micro triage (exam is May 4 PM!)</t>
        </is>
      </c>
      <c r="C9" s="283" t="inlineStr">
        <is>
          <t>Micro Cue Card FRQ protocol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2026-09-02T02:49:04Z</dcterms:created>
  <dcterms:modified xmlns:dcterms="http://purl.org/dc/terms/" xmlns:xsi="http://www.w3.org/2001/XMLSchema-instance" xsi:type="dcterms:W3CDTF">2026-10-07T03:53:57Z</dcterms:modified>
  <cp:revision>0</cp:revision>
</cp:coreProperties>
</file>